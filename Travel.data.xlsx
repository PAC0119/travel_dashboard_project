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TravClan_DB1_Formatted" sheetId="1" r:id="rId1"/>
    <sheet name="Pivot_Trends" sheetId="6" r:id="rId2"/>
    <sheet name="DB2_Asia_Market" sheetId="2" r:id="rId3"/>
    <sheet name="Corridor_Pivot" sheetId="7" r:id="rId4"/>
    <sheet name="DB3_B2B_Agent_Performance" sheetId="3" r:id="rId5"/>
  </sheets>
  <calcPr calcId="144525" iterateDelta="1E-4"/>
  <pivotCaches>
    <pivotCache cacheId="0" r:id="rId6"/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3" l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I50" i="3"/>
  <c r="G50" i="3"/>
  <c r="D50" i="3"/>
  <c r="C50" i="3"/>
  <c r="B50" i="3"/>
  <c r="I21" i="3"/>
  <c r="H21" i="3"/>
  <c r="G21" i="3"/>
  <c r="F21" i="3"/>
  <c r="D21" i="3"/>
  <c r="E11" i="1"/>
  <c r="D11" i="1"/>
  <c r="C11" i="1"/>
  <c r="B11" i="1"/>
  <c r="F50" i="3" l="1"/>
</calcChain>
</file>

<file path=xl/sharedStrings.xml><?xml version="1.0" encoding="utf-8"?>
<sst xmlns="http://schemas.openxmlformats.org/spreadsheetml/2006/main" count="441" uniqueCount="337">
  <si>
    <t>Source: Ministry of Tourism India | data.gov.in | Bureau of Immigration | Indiastat.com</t>
  </si>
  <si>
    <t>TABLE 1A: Annual Indian National Departures (INDs)</t>
  </si>
  <si>
    <t>Year</t>
  </si>
  <si>
    <t>Departures (Millions)</t>
  </si>
  <si>
    <t>YoY Growth %</t>
  </si>
  <si>
    <t>Avg Trip Duration (Days)</t>
  </si>
  <si>
    <t>Avg Spend/Trip (USD)</t>
  </si>
  <si>
    <t>Business %</t>
  </si>
  <si>
    <t>Leisure %</t>
  </si>
  <si>
    <t>VFR %</t>
  </si>
  <si>
    <t>—</t>
  </si>
  <si>
    <t>5-Year Total / Average</t>
  </si>
  <si>
    <t>TABLE 1B: Top 10 Destinations — Indian Outbound Travelers (2024)</t>
  </si>
  <si>
    <t>Rank</t>
  </si>
  <si>
    <t>Destination</t>
  </si>
  <si>
    <t>Travelers (Millions)</t>
  </si>
  <si>
    <t>Avg Stay (Days)</t>
  </si>
  <si>
    <t>Avg Spend (USD)</t>
  </si>
  <si>
    <t>Top Season</t>
  </si>
  <si>
    <t>Visa Requirement</t>
  </si>
  <si>
    <t>Thailand</t>
  </si>
  <si>
    <t>Oct–Mar</t>
  </si>
  <si>
    <t>Visa on Arrival</t>
  </si>
  <si>
    <t>UAE (Dubai)</t>
  </si>
  <si>
    <t>Nov–Feb</t>
  </si>
  <si>
    <t>Singapore</t>
  </si>
  <si>
    <t>Oct–Apr</t>
  </si>
  <si>
    <t>Malaysia</t>
  </si>
  <si>
    <t>Mar–Sep</t>
  </si>
  <si>
    <t>Indonesia/Bali</t>
  </si>
  <si>
    <t>Jun–Sep</t>
  </si>
  <si>
    <t>Sri Lanka</t>
  </si>
  <si>
    <t>Nov–Apr</t>
  </si>
  <si>
    <t>ETA (e-Visa)</t>
  </si>
  <si>
    <t>United Kingdom</t>
  </si>
  <si>
    <t>May–Sep</t>
  </si>
  <si>
    <t>UK Visa Reqd</t>
  </si>
  <si>
    <t>USA</t>
  </si>
  <si>
    <t>Jun–Aug</t>
  </si>
  <si>
    <t>US Visa Reqd</t>
  </si>
  <si>
    <t>Nepal</t>
  </si>
  <si>
    <t>Oct–Nov</t>
  </si>
  <si>
    <t>Visa Free</t>
  </si>
  <si>
    <t>Maldives</t>
  </si>
  <si>
    <t>Visa Free (30d)</t>
  </si>
  <si>
    <t>TABLE 1C: Month-wise Booking Seasonality Index (India Outbound)</t>
  </si>
  <si>
    <t>Month</t>
  </si>
  <si>
    <t>Booking Index (100=avg)</t>
  </si>
  <si>
    <t>Departures Share %</t>
  </si>
  <si>
    <t>Top Route</t>
  </si>
  <si>
    <t>Avg Ticket Price (INR)</t>
  </si>
  <si>
    <t>Hotel Occ. Rate %</t>
  </si>
  <si>
    <t>Peak/Off-Peak</t>
  </si>
  <si>
    <t>YoY Change %</t>
  </si>
  <si>
    <t>January</t>
  </si>
  <si>
    <t>Mumbai–Dubai</t>
  </si>
  <si>
    <t>Peak</t>
  </si>
  <si>
    <t>February</t>
  </si>
  <si>
    <t>Delhi–Bangkok</t>
  </si>
  <si>
    <t>March</t>
  </si>
  <si>
    <t>Delhi–Singapore</t>
  </si>
  <si>
    <t>High</t>
  </si>
  <si>
    <t>April</t>
  </si>
  <si>
    <t>Mumbai–Colombo</t>
  </si>
  <si>
    <t>Moderate</t>
  </si>
  <si>
    <t>May</t>
  </si>
  <si>
    <t>June</t>
  </si>
  <si>
    <t>Mumbai–London</t>
  </si>
  <si>
    <t>July</t>
  </si>
  <si>
    <t>August</t>
  </si>
  <si>
    <t>September</t>
  </si>
  <si>
    <t>Low</t>
  </si>
  <si>
    <t>October</t>
  </si>
  <si>
    <t>November</t>
  </si>
  <si>
    <t>Mumbai–Maldives</t>
  </si>
  <si>
    <t>December</t>
  </si>
  <si>
    <t>TABLE 1D: State-wise Origin of Indian Outbound Travelers (2024)</t>
  </si>
  <si>
    <t>State</t>
  </si>
  <si>
    <t>Outbound Travelers (Lakh)</t>
  </si>
  <si>
    <t>Share %</t>
  </si>
  <si>
    <t>Top Destination</t>
  </si>
  <si>
    <t>Avg Budget/Trip (INR)</t>
  </si>
  <si>
    <t>Preferred Package</t>
  </si>
  <si>
    <t>Growth YoY %</t>
  </si>
  <si>
    <t>Maharashtra</t>
  </si>
  <si>
    <t>Dubai / Singapore</t>
  </si>
  <si>
    <t>Luxury</t>
  </si>
  <si>
    <t>Delhi NCR</t>
  </si>
  <si>
    <t>Bangkok / Singapore</t>
  </si>
  <si>
    <t>Mid-Premium</t>
  </si>
  <si>
    <t>Gujarat</t>
  </si>
  <si>
    <t>USA / UK</t>
  </si>
  <si>
    <t>VFR/Leisure</t>
  </si>
  <si>
    <t>Karnataka</t>
  </si>
  <si>
    <t>Singapore / Bali</t>
  </si>
  <si>
    <t>Honeymoon</t>
  </si>
  <si>
    <t>Tamil Nadu</t>
  </si>
  <si>
    <t>Malaysia / Thailand</t>
  </si>
  <si>
    <t>Leisure</t>
  </si>
  <si>
    <t>West Bengal</t>
  </si>
  <si>
    <t>Thailand / Bhutan</t>
  </si>
  <si>
    <t>Budget</t>
  </si>
  <si>
    <t>Rajasthan</t>
  </si>
  <si>
    <t>Dubai / UK</t>
  </si>
  <si>
    <t>Group Tour</t>
  </si>
  <si>
    <t>Uttar Pradesh</t>
  </si>
  <si>
    <t>Dubai / Nepal</t>
  </si>
  <si>
    <t>Pilgrimage</t>
  </si>
  <si>
    <t>Punjab</t>
  </si>
  <si>
    <t>Canada / UK</t>
  </si>
  <si>
    <t>VFR</t>
  </si>
  <si>
    <t>Telangana</t>
  </si>
  <si>
    <t>USA / Singapore</t>
  </si>
  <si>
    <t>Business</t>
  </si>
  <si>
    <t>Kerala</t>
  </si>
  <si>
    <t>UAE / Malaysia</t>
  </si>
  <si>
    <t>Others</t>
  </si>
  <si>
    <t>Various</t>
  </si>
  <si>
    <t>Mixed</t>
  </si>
  <si>
    <t>TABLE 1E: Budget Segmentation of Indian Outbound Travelers (2024)</t>
  </si>
  <si>
    <t>Segment</t>
  </si>
  <si>
    <t>Market Share %</t>
  </si>
  <si>
    <t>Preferred Destinations</t>
  </si>
  <si>
    <t>Booking Channel</t>
  </si>
  <si>
    <t>Budget (&lt;₹50K)</t>
  </si>
  <si>
    <t>Nepal/Sri Lanka/Thailand</t>
  </si>
  <si>
    <t>OTA/Aggregator</t>
  </si>
  <si>
    <t>Mid-Range (₹50K–1.5L)</t>
  </si>
  <si>
    <t>Thailand/Bali/Singapore</t>
  </si>
  <si>
    <t>Agent+OTA Mix</t>
  </si>
  <si>
    <t>Premium (₹1.5L–3L)</t>
  </si>
  <si>
    <t>UAE/Malaysia/Europe</t>
  </si>
  <si>
    <t>Travel Agent</t>
  </si>
  <si>
    <t>Luxury (&gt;₹3L)</t>
  </si>
  <si>
    <t>Maldives/Europe/Americas</t>
  </si>
  <si>
    <t>DMC/Concierge</t>
  </si>
  <si>
    <t>Source: UNWTO Tourism Statistics | Our World in Data | ASEAN Tourism | World Bank</t>
  </si>
  <si>
    <t>TABLE 2A: Top Asian Destinations by International Arrivals (Millions)</t>
  </si>
  <si>
    <t>Country</t>
  </si>
  <si>
    <t>2021 Arrivals</t>
  </si>
  <si>
    <t>2022 Arrivals</t>
  </si>
  <si>
    <t>2023 Arrivals</t>
  </si>
  <si>
    <t>2024 Arrivals (Est)</t>
  </si>
  <si>
    <t>YoY 2024 %</t>
  </si>
  <si>
    <t>Recovery vs 2019 %</t>
  </si>
  <si>
    <t>Tourism Revenue USD Bn</t>
  </si>
  <si>
    <t>Indonesia</t>
  </si>
  <si>
    <t>India</t>
  </si>
  <si>
    <t>Japan</t>
  </si>
  <si>
    <t>South Korea</t>
  </si>
  <si>
    <t>Vietnam</t>
  </si>
  <si>
    <t>TABLE 2B: India → Asia Top Travel Corridors (2024)</t>
  </si>
  <si>
    <t>Corridor (Origin→Dest)</t>
  </si>
  <si>
    <t>Monthly Travelers</t>
  </si>
  <si>
    <t>Avg Fare INR (Rtn)</t>
  </si>
  <si>
    <t>Purpose: Leisure %</t>
  </si>
  <si>
    <t>Purpose: Business %</t>
  </si>
  <si>
    <t>Purpose: VFR %</t>
  </si>
  <si>
    <t>CAGR 2021–24 %</t>
  </si>
  <si>
    <t>India → Thailand</t>
  </si>
  <si>
    <t>India → UAE</t>
  </si>
  <si>
    <t>India → Singapore</t>
  </si>
  <si>
    <t>India → Malaysia</t>
  </si>
  <si>
    <t>India → Sri Lanka</t>
  </si>
  <si>
    <t>India → Indonesia/Bali</t>
  </si>
  <si>
    <t>India → Nepal</t>
  </si>
  <si>
    <t>India → Maldives</t>
  </si>
  <si>
    <t>India → Japan</t>
  </si>
  <si>
    <t>India → South Korea</t>
  </si>
  <si>
    <t>India → Vietnam</t>
  </si>
  <si>
    <t>India → Qatar</t>
  </si>
  <si>
    <t>TABLE 2C: Hotel Category Preference by Nationality (Asian Travelers, 2024)</t>
  </si>
  <si>
    <t>Nationality</t>
  </si>
  <si>
    <t>Budget (1-2★) %</t>
  </si>
  <si>
    <t>Standard (3★) %</t>
  </si>
  <si>
    <t>Deluxe (4★) %</t>
  </si>
  <si>
    <t>Luxury (5★) %</t>
  </si>
  <si>
    <t>Avg Room Rate/Night (USD)</t>
  </si>
  <si>
    <t>Avg Stay (Nights)</t>
  </si>
  <si>
    <t>OTA Booking %</t>
  </si>
  <si>
    <t>Indian Travelers</t>
  </si>
  <si>
    <t>Chinese Travelers</t>
  </si>
  <si>
    <t>Japanese Travelers</t>
  </si>
  <si>
    <t>Korean Travelers</t>
  </si>
  <si>
    <t>Australian Travelers</t>
  </si>
  <si>
    <t>UK Travelers</t>
  </si>
  <si>
    <t>US Travelers</t>
  </si>
  <si>
    <t>Southeast Asian</t>
  </si>
  <si>
    <t>Middle Eastern</t>
  </si>
  <si>
    <t>TABLE 2D: Visa Policy &amp; Air Connectivity Index — India→Asia (2024)</t>
  </si>
  <si>
    <t>Visa Policy</t>
  </si>
  <si>
    <t>e-Visa Available</t>
  </si>
  <si>
    <t>Weekly Flights (India)</t>
  </si>
  <si>
    <t>Airlines Serving</t>
  </si>
  <si>
    <t>Travel Time (Hrs)</t>
  </si>
  <si>
    <t>Visa Fee (INR)</t>
  </si>
  <si>
    <t>Booking Lead Time (Days)</t>
  </si>
  <si>
    <t>Yes</t>
  </si>
  <si>
    <t>Free Arrival (30d)</t>
  </si>
  <si>
    <t>Visa Required</t>
  </si>
  <si>
    <t>e-Visa (90d)</t>
  </si>
  <si>
    <t>Qatar</t>
  </si>
  <si>
    <t>Simulated B2B Dataset — Modelled on TravClan B2B Platform Logic | For Portfolio Use</t>
  </si>
  <si>
    <t>TABLE 3A: Travel Agent Booking Performance (Top 15 Agents, FY2024)</t>
  </si>
  <si>
    <t>Agent ID</t>
  </si>
  <si>
    <t>Agent Name</t>
  </si>
  <si>
    <t>City</t>
  </si>
  <si>
    <t>Total Bookings</t>
  </si>
  <si>
    <t>Revenue (INR Lakh)</t>
  </si>
  <si>
    <t>Avg Markup %</t>
  </si>
  <si>
    <t>Conversion Rate %</t>
  </si>
  <si>
    <t>Repeat Client %</t>
  </si>
  <si>
    <t>Agent Tier</t>
  </si>
  <si>
    <t>AG001</t>
  </si>
  <si>
    <t>Skyline Travels</t>
  </si>
  <si>
    <t>Mumbai</t>
  </si>
  <si>
    <t>Platinum</t>
  </si>
  <si>
    <t>AG002</t>
  </si>
  <si>
    <t>Global Wings</t>
  </si>
  <si>
    <t>Delhi</t>
  </si>
  <si>
    <t>AG003</t>
  </si>
  <si>
    <t>Paradise Holidays</t>
  </si>
  <si>
    <t>Ahmedabad</t>
  </si>
  <si>
    <t>Gold</t>
  </si>
  <si>
    <t>AG004</t>
  </si>
  <si>
    <t>Dream Destinations</t>
  </si>
  <si>
    <t>Bangalore</t>
  </si>
  <si>
    <t>AG005</t>
  </si>
  <si>
    <t>Horizon Tours</t>
  </si>
  <si>
    <t>Chennai</t>
  </si>
  <si>
    <t>AG006</t>
  </si>
  <si>
    <t>Journey Crafters</t>
  </si>
  <si>
    <t>Hyderabad</t>
  </si>
  <si>
    <t>AG007</t>
  </si>
  <si>
    <t>Wanderlust Agency</t>
  </si>
  <si>
    <t>Pune</t>
  </si>
  <si>
    <t>Silver</t>
  </si>
  <si>
    <t>AG008</t>
  </si>
  <si>
    <t>TravelSmart India</t>
  </si>
  <si>
    <t>Kolkata</t>
  </si>
  <si>
    <t>AG009</t>
  </si>
  <si>
    <t>Odyssey Travel</t>
  </si>
  <si>
    <t>Jaipur</t>
  </si>
  <si>
    <t>AG010</t>
  </si>
  <si>
    <t>Voyage Masters</t>
  </si>
  <si>
    <t>Surat</t>
  </si>
  <si>
    <t>AG011</t>
  </si>
  <si>
    <t>Bliss Holidays</t>
  </si>
  <si>
    <t>Lucknow</t>
  </si>
  <si>
    <t>Bronze</t>
  </si>
  <si>
    <t>AG012</t>
  </si>
  <si>
    <t>Exotic Escapes</t>
  </si>
  <si>
    <t>Chandigarh</t>
  </si>
  <si>
    <t>AG013</t>
  </si>
  <si>
    <t>Far Horizons</t>
  </si>
  <si>
    <t>Nagpur</t>
  </si>
  <si>
    <t>AG014</t>
  </si>
  <si>
    <t>Epic Journeys</t>
  </si>
  <si>
    <t>Kochi</t>
  </si>
  <si>
    <t>AG015</t>
  </si>
  <si>
    <t>Star Trails Travel</t>
  </si>
  <si>
    <t>Indore</t>
  </si>
  <si>
    <t>TOTAL / AVERAGE</t>
  </si>
  <si>
    <t>TABLE 3B: Package Type Performance Analysis (FY2024)</t>
  </si>
  <si>
    <t>Package Type</t>
  </si>
  <si>
    <t>Revenue (INR Cr)</t>
  </si>
  <si>
    <t>Avg Package Value (INR)</t>
  </si>
  <si>
    <t>Avg Margin %</t>
  </si>
  <si>
    <t>Avg Group Size</t>
  </si>
  <si>
    <t>Cancellation %</t>
  </si>
  <si>
    <t>Honeymoon Package</t>
  </si>
  <si>
    <t>Bali/Maldives</t>
  </si>
  <si>
    <t>Family Holiday</t>
  </si>
  <si>
    <t>Thailand/Dubai</t>
  </si>
  <si>
    <t>Group Tour (10+pax)</t>
  </si>
  <si>
    <t>Europe/USA</t>
  </si>
  <si>
    <t>Corporate Travel</t>
  </si>
  <si>
    <t>Singapore/UAE</t>
  </si>
  <si>
    <t>Adventure/Trekking</t>
  </si>
  <si>
    <t>Nepal/Bhutan</t>
  </si>
  <si>
    <t>Pilgrimage Tour</t>
  </si>
  <si>
    <t>Sri Lanka/Israel</t>
  </si>
  <si>
    <t>Solo Budget</t>
  </si>
  <si>
    <t>Thailand/Vietnam</t>
  </si>
  <si>
    <t>Luxury FIT</t>
  </si>
  <si>
    <t>Maldives/Europe</t>
  </si>
  <si>
    <t>Weekend Getaway</t>
  </si>
  <si>
    <t>Malaysia/Nepal</t>
  </si>
  <si>
    <t>Cruise Holiday</t>
  </si>
  <si>
    <t>SE Asia Circuit</t>
  </si>
  <si>
    <t>TABLE 3C: Monthly Booking Conversion Funnel (FY2024)</t>
  </si>
  <si>
    <t>Inquiries</t>
  </si>
  <si>
    <t>Quotes Sent</t>
  </si>
  <si>
    <t>Bookings Confirmed</t>
  </si>
  <si>
    <t>Quote-to-Booking %</t>
  </si>
  <si>
    <t>Avg Booking Value (INR)</t>
  </si>
  <si>
    <t>Cancellations</t>
  </si>
  <si>
    <t>Net Revenue (INR Lakh)</t>
  </si>
  <si>
    <t>MoM Growth %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</si>
  <si>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</si>
  <si>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</si>
  <si>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</si>
  <si>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</si>
  <si>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</si>
  <si>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</si>
  <si>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</si>
  <si>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</si>
  <si>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</si>
  <si>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</si>
  <si>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</si>
  <si>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</si>
  <si>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FY 2024 TOTAL</t>
  </si>
  <si>
    <t>TABLE 3D: Booking Lead Time Behaviour by Package Type (2024)</t>
  </si>
  <si>
    <t>0-7 Days %</t>
  </si>
  <si>
    <t>8-14 Days %</t>
  </si>
  <si>
    <t>15-30 Days %</t>
  </si>
  <si>
    <t>31-60 Days %</t>
  </si>
  <si>
    <t>60+ Days %</t>
  </si>
  <si>
    <t>Avg Lead Time (Days)</t>
  </si>
  <si>
    <t>Last-Minute Premium %</t>
  </si>
  <si>
    <t>Advance Discount %</t>
  </si>
  <si>
    <t>Corporate</t>
  </si>
  <si>
    <t>Adventure/Trek</t>
  </si>
  <si>
    <t>Budget Solo</t>
  </si>
  <si>
    <t>Weekend</t>
  </si>
  <si>
    <t>Cruise</t>
  </si>
  <si>
    <t>Row Labels</t>
  </si>
  <si>
    <t>Grand Total</t>
  </si>
  <si>
    <t>Sum of Departures (Millions)</t>
  </si>
  <si>
    <t>Count of YoY Growth %</t>
  </si>
  <si>
    <t>Sum of Monthly Travelers</t>
  </si>
  <si>
    <t>Sum of Avg Fare INR (Rtn)</t>
  </si>
  <si>
    <t>Sum of CAGR 2021–24 %</t>
  </si>
  <si>
    <t xml:space="preserve">Sum of Annual_Revenue </t>
  </si>
  <si>
    <t>🌏   Asia Travel Market Overview (2021–2024)</t>
  </si>
  <si>
    <t>🇮🇳  India Outbound Travel Trends (2020–2024)</t>
  </si>
  <si>
    <t>💼   B2B Travel Agent Performance Simulation (FY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</si>
</sst>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\$#,##0"/>
    <numFmt numFmtId="165" formatCode="0.0%"/>
    <numFmt numFmtId="166" formatCode="0.0"/>
    <numFmt numFmtId="167" formatCode="\₹#,##0"/>
    <numFmt numFmtId="168" formatCode="\$#,##0.0"/>
    <numFmt numFmtId="169" formatCode="\₹#,##0.0"/>
    <numFmt numFmtId="170" formatCode="\₹#,##0.00"/>
    <numFmt numFmtId="171" formatCode="&quot;₹&quot;\ #,##0.0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C9A84C"/>
      <name val="Arial"/>
      <charset val="1"/>
    </font>
    <font>
      <b/>
      <sz val="11"/>
      <color rgb="FF1B2A4A"/>
      <name val="Arial"/>
      <charset val="1"/>
    </font>
    <font>
      <b/>
      <sz val="10"/>
      <color rgb="FFFFFFFF"/>
      <name val="Arial"/>
      <charset val="1"/>
    </font>
    <font>
      <sz val="10"/>
      <color rgb="FF4A4A4A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2D2D2D"/>
      </patternFill>
    </fill>
    <fill>
      <patternFill patternType="solid">
        <fgColor rgb="FFC9A84C"/>
        <bgColor rgb="FFFF9900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center" vertical="center"/>
    </xf>
    <xf numFmtId="167" fontId="5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68" fontId="5" fillId="4" borderId="1" xfId="0" applyNumberFormat="1" applyFont="1" applyFill="1" applyBorder="1" applyAlignment="1">
      <alignment horizontal="center" vertical="center"/>
    </xf>
    <xf numFmtId="168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69" fontId="5" fillId="4" borderId="1" xfId="0" applyNumberFormat="1" applyFont="1" applyFill="1" applyBorder="1" applyAlignment="1">
      <alignment horizontal="center" vertical="center"/>
    </xf>
    <xf numFmtId="169" fontId="5" fillId="5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/>
    </xf>
    <xf numFmtId="169" fontId="6" fillId="2" borderId="1" xfId="0" applyNumberFormat="1" applyFont="1" applyFill="1" applyBorder="1" applyAlignment="1">
      <alignment horizontal="center"/>
    </xf>
    <xf numFmtId="170" fontId="5" fillId="5" borderId="1" xfId="0" applyNumberFormat="1" applyFont="1" applyFill="1" applyBorder="1" applyAlignment="1">
      <alignment horizontal="center" vertical="center"/>
    </xf>
    <xf numFmtId="170" fontId="5" fillId="4" borderId="1" xfId="0" applyNumberFormat="1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171" fontId="0" fillId="0" borderId="0" xfId="0" applyNumberFormat="1"/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left" vertical="center"/>
    </xf>
    <xf numFmtId="3" fontId="5" fillId="4" borderId="8" xfId="0" applyNumberFormat="1" applyFont="1" applyFill="1" applyBorder="1" applyAlignment="1">
      <alignment horizontal="center" vertical="center"/>
    </xf>
    <xf numFmtId="169" fontId="5" fillId="4" borderId="8" xfId="0" applyNumberFormat="1" applyFont="1" applyFill="1" applyBorder="1" applyAlignment="1">
      <alignment horizontal="center" vertical="center"/>
    </xf>
    <xf numFmtId="165" fontId="5" fillId="4" borderId="8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A4A4A"/>
        <name val="Arial"/>
        <scheme val="none"/>
      </font>
      <fill>
        <patternFill patternType="solid">
          <fgColor rgb="FFCCFFFF"/>
          <bgColor rgb="FFD6E4F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A4A4A"/>
        <name val="Arial"/>
        <scheme val="none"/>
      </font>
      <numFmt numFmtId="165" formatCode="0.0%"/>
      <fill>
        <patternFill patternType="solid">
          <fgColor rgb="FFCCFFFF"/>
          <bgColor rgb="FFD6E4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A4A4A"/>
        <name val="Arial"/>
        <scheme val="none"/>
      </font>
      <numFmt numFmtId="165" formatCode="0.0%"/>
      <fill>
        <patternFill patternType="solid">
          <fgColor rgb="FFCCFFFF"/>
          <bgColor rgb="FFD6E4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A4A4A"/>
        <name val="Arial"/>
        <scheme val="none"/>
      </font>
      <numFmt numFmtId="165" formatCode="0.0%"/>
      <fill>
        <patternFill patternType="solid">
          <fgColor rgb="FFCCFFFF"/>
          <bgColor rgb="FFD6E4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A4A4A"/>
        <name val="Arial"/>
        <scheme val="none"/>
      </font>
      <numFmt numFmtId="169" formatCode="\₹#,##0.0"/>
      <fill>
        <patternFill patternType="solid">
          <fgColor rgb="FFCCFFFF"/>
          <bgColor rgb="FFD6E4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A4A4A"/>
        <name val="Arial"/>
        <scheme val="none"/>
      </font>
      <numFmt numFmtId="3" formatCode="#,##0"/>
      <fill>
        <patternFill patternType="solid">
          <fgColor rgb="FFCCFFFF"/>
          <bgColor rgb="FFD6E4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A4A4A"/>
        <name val="Arial"/>
        <scheme val="none"/>
      </font>
      <numFmt numFmtId="3" formatCode="#,##0"/>
      <fill>
        <patternFill patternType="solid">
          <fgColor rgb="FFCCFFFF"/>
          <bgColor rgb="FFD6E4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A4A4A"/>
        <name val="Arial"/>
        <scheme val="none"/>
      </font>
      <fill>
        <patternFill patternType="solid">
          <fgColor rgb="FFCCFFFF"/>
          <bgColor rgb="FFD6E4F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A4A4A"/>
        <name val="Arial"/>
        <scheme val="none"/>
      </font>
      <fill>
        <patternFill patternType="solid">
          <fgColor rgb="FFCCFFFF"/>
          <bgColor rgb="FFD6E4F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A4A4A"/>
        <name val="Arial"/>
        <scheme val="none"/>
      </font>
      <fill>
        <patternFill patternType="solid">
          <fgColor rgb="FFCCFFFF"/>
          <bgColor rgb="FFD6E4F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A4A4A"/>
        <name val="Arial"/>
        <scheme val="none"/>
      </font>
      <fill>
        <patternFill patternType="solid">
          <fgColor rgb="FFCCFFFF"/>
          <bgColor rgb="FFD6E4F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FF9900"/>
          <bgColor rgb="FFC9A84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CC00"/>
        </patternFill>
      </fill>
    </dxf>
    <dxf>
      <numFmt numFmtId="171" formatCode="&quot;₹&quot;\ #,##0.00"/>
    </dxf>
    <dxf>
      <numFmt numFmtId="171" formatCode="&quot;₹&quot;\ #,##0.00"/>
    </dxf>
    <dxf>
      <numFmt numFmtId="165" formatCode="0.0%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B2A4A"/>
      <rgbColor rgb="FF339966"/>
      <rgbColor rgb="FF003300"/>
      <rgbColor rgb="FF1E1E1E"/>
      <rgbColor rgb="FF993300"/>
      <rgbColor rgb="FF993366"/>
      <rgbColor rgb="FF4A4A4A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38.860764351855" createdVersion="4" refreshedVersion="4" minRefreshableVersion="3" recordCount="6">
  <cacheSource type="worksheet">
    <worksheetSource ref="A5:H11" sheet="TravClan_DB1_Formatted"/>
  </cacheSource>
  <cacheFields count="8">
    <cacheField name="Year" numFmtId="0">
      <sharedItems containsMixedTypes="1" containsNumber="1" containsInteger="1" minValue="2020" maxValue="2024" count="6">
        <n v="2020"/>
        <n v="2021"/>
        <n v="2022"/>
        <n v="2023"/>
        <n v="2024"/>
        <s v="5-Year Total / Average"/>
      </sharedItems>
    </cacheField>
    <cacheField name="Departures (Millions)" numFmtId="2">
      <sharedItems containsSemiMixedTypes="0" containsString="0" containsNumber="1" minValue="7.29" maxValue="96.52"/>
    </cacheField>
    <cacheField name="YoY Growth %" numFmtId="0">
      <sharedItems containsMixedTypes="1" containsNumber="1" minValue="0.11899999999999999" maxValue="1.526" count="6">
        <s v="—"/>
        <n v="0.17299999999999999"/>
        <n v="1.526"/>
        <n v="0.29099999999999998"/>
        <n v="0.11899999999999999"/>
        <n v="0.52725"/>
      </sharedItems>
    </cacheField>
    <cacheField name="Avg Trip Duration (Days)" numFmtId="0">
      <sharedItems containsSemiMixedTypes="0" containsString="0" containsNumber="1" minValue="8.1999999999999993" maxValue="9.6999999999999993"/>
    </cacheField>
    <cacheField name="Avg Spend/Trip (USD)" numFmtId="164">
      <sharedItems containsSemiMixedTypes="0" containsString="0" containsNumber="1" containsInteger="1" minValue="1340" maxValue="1970"/>
    </cacheField>
    <cacheField name="Business %" numFmtId="0">
      <sharedItems containsString="0" containsBlank="1" containsNumber="1" minValue="0.25" maxValue="0.28000000000000003"/>
    </cacheField>
    <cacheField name="Leisure %" numFmtId="0">
      <sharedItems containsString="0" containsBlank="1" containsNumber="1" minValue="0.52" maxValue="0.61"/>
    </cacheField>
    <cacheField name="VFR %" numFmtId="0">
      <sharedItems containsString="0" containsBlank="1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138.895030208332" createdVersion="4" refreshedVersion="4" minRefreshableVersion="3" recordCount="12">
  <cacheSource type="worksheet">
    <worksheetSource ref="A20:H32" sheet="DB2_Asia_Market"/>
  </cacheSource>
  <cacheFields count="9">
    <cacheField name="Corridor (Origin→Dest)" numFmtId="0">
      <sharedItems count="12">
        <s v="India → Thailand"/>
        <s v="India → UAE"/>
        <s v="India → Singapore"/>
        <s v="India → Malaysia"/>
        <s v="India → Sri Lanka"/>
        <s v="India → Indonesia/Bali"/>
        <s v="India → Nepal"/>
        <s v="India → Maldives"/>
        <s v="India → Japan"/>
        <s v="India → South Korea"/>
        <s v="India → Vietnam"/>
        <s v="India → Qatar"/>
      </sharedItems>
    </cacheField>
    <cacheField name="Monthly Travelers" numFmtId="3">
      <sharedItems containsSemiMixedTypes="0" containsString="0" containsNumber="1" containsInteger="1" minValue="38000" maxValue="312000"/>
    </cacheField>
    <cacheField name="Avg Fare INR (Rtn)" numFmtId="167">
      <sharedItems containsSemiMixedTypes="0" containsString="0" containsNumber="1" containsInteger="1" minValue="12400" maxValue="68400"/>
    </cacheField>
    <cacheField name="Avg Stay (Days)" numFmtId="0">
      <sharedItems containsSemiMixedTypes="0" containsString="0" containsNumber="1" containsInteger="1" minValue="4" maxValue="9"/>
    </cacheField>
    <cacheField name="Purpose: Leisure %" numFmtId="9">
      <sharedItems containsSemiMixedTypes="0" containsString="0" containsNumber="1" minValue="0.28000000000000003" maxValue="0.88"/>
    </cacheField>
    <cacheField name="Purpose: Business %" numFmtId="9">
      <sharedItems containsSemiMixedTypes="0" containsString="0" containsNumber="1" minValue="0.06" maxValue="0.52"/>
    </cacheField>
    <cacheField name="Purpose: VFR %" numFmtId="9">
      <sharedItems containsSemiMixedTypes="0" containsString="0" containsNumber="1" minValue="0.06" maxValue="0.48"/>
    </cacheField>
    <cacheField name="CAGR 2021–24 %" numFmtId="165">
      <sharedItems containsSemiMixedTypes="0" containsString="0" containsNumber="1" minValue="0.184" maxValue="0.42299999999999999"/>
    </cacheField>
    <cacheField name="Annual_Revenue " numFmtId="0" formula="'Monthly Travelers'*12*'Avg Fare INR (Rtn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n v="7.29"/>
    <x v="0"/>
    <n v="8.1999999999999993"/>
    <n v="1340"/>
    <n v="0.28000000000000003"/>
    <n v="0.52"/>
    <n v="0.2"/>
  </r>
  <r>
    <x v="1"/>
    <n v="8.5500000000000007"/>
    <x v="1"/>
    <n v="8.8000000000000007"/>
    <n v="1420"/>
    <n v="0.25"/>
    <n v="0.55000000000000004"/>
    <n v="0.2"/>
  </r>
  <r>
    <x v="2"/>
    <n v="21.6"/>
    <x v="2"/>
    <n v="9.1"/>
    <n v="1680"/>
    <n v="0.27"/>
    <n v="0.56999999999999995"/>
    <n v="0.16"/>
  </r>
  <r>
    <x v="3"/>
    <n v="27.88"/>
    <x v="3"/>
    <n v="9.4"/>
    <n v="1820"/>
    <n v="0.26"/>
    <n v="0.59"/>
    <n v="0.15"/>
  </r>
  <r>
    <x v="4"/>
    <n v="31.2"/>
    <x v="4"/>
    <n v="9.6999999999999993"/>
    <n v="1970"/>
    <n v="0.25"/>
    <n v="0.61"/>
    <n v="0.14000000000000001"/>
  </r>
  <r>
    <x v="5"/>
    <n v="96.52"/>
    <x v="5"/>
    <n v="9.0400000000000009"/>
    <n v="1646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">
  <r>
    <x v="0"/>
    <n v="285000"/>
    <n v="28500"/>
    <n v="7"/>
    <n v="0.68"/>
    <n v="0.18"/>
    <n v="0.14000000000000001"/>
    <n v="0.314"/>
  </r>
  <r>
    <x v="1"/>
    <n v="312000"/>
    <n v="24800"/>
    <n v="5"/>
    <n v="0.42"/>
    <n v="0.38"/>
    <n v="0.2"/>
    <n v="0.248"/>
  </r>
  <r>
    <x v="2"/>
    <n v="198000"/>
    <n v="32400"/>
    <n v="6"/>
    <n v="0.54"/>
    <n v="0.32"/>
    <n v="0.14000000000000001"/>
    <n v="0.28599999999999998"/>
  </r>
  <r>
    <x v="3"/>
    <n v="164000"/>
    <n v="26200"/>
    <n v="6"/>
    <n v="0.62"/>
    <n v="0.22"/>
    <n v="0.16"/>
    <n v="0.34200000000000003"/>
  </r>
  <r>
    <x v="4"/>
    <n v="122000"/>
    <n v="18600"/>
    <n v="7"/>
    <n v="0.72"/>
    <n v="0.1"/>
    <n v="0.18"/>
    <n v="0.29799999999999999"/>
  </r>
  <r>
    <x v="5"/>
    <n v="143000"/>
    <n v="35800"/>
    <n v="7"/>
    <n v="0.78"/>
    <n v="0.08"/>
    <n v="0.14000000000000001"/>
    <n v="0.36499999999999999"/>
  </r>
  <r>
    <x v="6"/>
    <n v="98000"/>
    <n v="12400"/>
    <n v="5"/>
    <n v="0.44"/>
    <n v="0.08"/>
    <n v="0.48"/>
    <n v="0.184"/>
  </r>
  <r>
    <x v="7"/>
    <n v="88000"/>
    <n v="42600"/>
    <n v="5"/>
    <n v="0.88"/>
    <n v="0.06"/>
    <n v="0.06"/>
    <n v="0.28100000000000003"/>
  </r>
  <r>
    <x v="8"/>
    <n v="52000"/>
    <n v="68400"/>
    <n v="9"/>
    <n v="0.82"/>
    <n v="0.12"/>
    <n v="0.06"/>
    <n v="0.42299999999999999"/>
  </r>
  <r>
    <x v="9"/>
    <n v="44000"/>
    <n v="58200"/>
    <n v="8"/>
    <n v="0.79"/>
    <n v="0.14000000000000001"/>
    <n v="7.0000000000000007E-2"/>
    <n v="0.38700000000000001"/>
  </r>
  <r>
    <x v="10"/>
    <n v="38000"/>
    <n v="32800"/>
    <n v="7"/>
    <n v="0.74"/>
    <n v="0.18"/>
    <n v="0.08"/>
    <n v="0.41199999999999998"/>
  </r>
  <r>
    <x v="11"/>
    <n v="68000"/>
    <n v="22400"/>
    <n v="4"/>
    <n v="0.28000000000000003"/>
    <n v="0.52"/>
    <n v="0.2"/>
    <n v="0.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_Trends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10" firstHeaderRow="0" firstDataRow="1" firstDataCol="1"/>
  <pivotFields count="8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numFmtId="2" showAll="0"/>
    <pivotField dataField="1" showAll="0">
      <items count="7">
        <item x="4"/>
        <item x="1"/>
        <item x="3"/>
        <item x="5"/>
        <item x="2"/>
        <item x="0"/>
        <item t="default"/>
      </items>
    </pivotField>
    <pivotField showAll="0"/>
    <pivotField numFmtId="164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partures (Millions)" fld="1" baseField="0" baseItem="0"/>
    <dataField name="Count of YoY Growth %" fld="2" subtotal="count" baseField="0" baseItem="0"/>
  </dataFields>
  <formats count="1"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E16" firstHeaderRow="0" firstDataRow="1" firstDataCol="1"/>
  <pivotFields count="9">
    <pivotField axis="axisRow" showAll="0" sortType="descending">
      <items count="13">
        <item x="5"/>
        <item x="8"/>
        <item x="3"/>
        <item x="7"/>
        <item x="6"/>
        <item x="11"/>
        <item x="2"/>
        <item x="9"/>
        <item x="4"/>
        <item x="0"/>
        <item x="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3" showAll="0"/>
    <pivotField dataField="1" numFmtId="167" showAll="0"/>
    <pivotField showAll="0"/>
    <pivotField numFmtId="9" showAll="0"/>
    <pivotField numFmtId="9" showAll="0"/>
    <pivotField numFmtId="9" showAll="0"/>
    <pivotField dataField="1" numFmtId="165" showAll="0"/>
    <pivotField dataField="1" dragToRow="0" dragToCol="0" dragToPage="0" showAll="0" defaultSubtotal="0"/>
  </pivotFields>
  <rowFields count="1">
    <field x="0"/>
  </rowFields>
  <rowItems count="13">
    <i>
      <x v="10"/>
    </i>
    <i>
      <x v="9"/>
    </i>
    <i>
      <x v="6"/>
    </i>
    <i>
      <x v="2"/>
    </i>
    <i>
      <x/>
    </i>
    <i>
      <x v="8"/>
    </i>
    <i>
      <x v="4"/>
    </i>
    <i>
      <x v="3"/>
    </i>
    <i>
      <x v="5"/>
    </i>
    <i>
      <x v="1"/>
    </i>
    <i>
      <x v="7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Monthly Travelers" fld="1" baseField="0" baseItem="0"/>
    <dataField name="Sum of Avg Fare INR (Rtn)" fld="2" baseField="0" baseItem="0"/>
    <dataField name="Sum of CAGR 2021–24 %" fld="7" baseField="0" baseItem="0"/>
    <dataField name="Sum of Annual_Revenue " fld="8" baseField="0" baseItem="0" numFmtId="171"/>
  </dataFields>
  <formats count="2">
    <format dxfId="23">
      <pivotArea collapsedLevelsAreSubtotals="1" fieldPosition="0">
        <references count="2">
          <reference field="4294967294" count="1" selected="0">
            <x v="3"/>
          </reference>
          <reference field="0" count="1">
            <x v="0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5:J20" totalsRowShown="0" headerRowDxfId="14" dataDxfId="12" headerRowBorderDxfId="13" tableBorderDxfId="11" totalsRowBorderDxfId="10">
  <autoFilter ref="A5:J20"/>
  <sortState ref="A6:J20">
    <sortCondition descending="1" ref="F5:F20"/>
  </sortState>
  <tableColumns count="10">
    <tableColumn id="1" name="Agent ID" dataDxfId="9"/>
    <tableColumn id="2" name="Agent Name" dataDxfId="8"/>
    <tableColumn id="3" name="City" dataDxfId="7"/>
    <tableColumn id="4" name="Total Bookings" dataDxfId="6"/>
    <tableColumn id="13" name="Rank" dataDxfId="5">
      <calculatedColumnFormula>_xlfn.RANK.EQ(Table1[[#This Row],[Revenue (INR Lakh)]],Table1[Revenue (INR Lakh)],0)</calculatedColumnFormula>
    </tableColumn>
    <tableColumn id="5" name="Revenue (INR Lakh)" dataDxfId="4"/>
    <tableColumn id="6" name="Avg Markup %" dataDxfId="3"/>
    <tableColumn id="7" name="Conversion Rate %" dataDxfId="2"/>
    <tableColumn id="8" name="Repeat Client %" dataDxfId="1"/>
    <tableColumn id="9" name="Agent Ti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</sheetPr>
  <dimension ref="A1:H61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28" customWidth="1"/>
    <col min="2" max="8" width="16" customWidth="1"/>
  </cols>
  <sheetData>
    <row r="1" spans="1:8" ht="36" customHeight="1" x14ac:dyDescent="0.25">
      <c r="A1" s="54" t="s">
        <v>335</v>
      </c>
      <c r="B1" s="55"/>
      <c r="C1" s="55"/>
      <c r="D1" s="55"/>
      <c r="E1" s="55"/>
      <c r="F1" s="55"/>
      <c r="G1" s="55"/>
      <c r="H1" s="55"/>
    </row>
    <row r="2" spans="1:8" x14ac:dyDescent="0.25">
      <c r="A2" s="56" t="s">
        <v>0</v>
      </c>
      <c r="B2" s="56"/>
      <c r="C2" s="56"/>
      <c r="D2" s="56"/>
      <c r="E2" s="56"/>
      <c r="F2" s="56"/>
      <c r="G2" s="56"/>
      <c r="H2" s="56"/>
    </row>
    <row r="4" spans="1:8" ht="15" customHeight="1" x14ac:dyDescent="0.25">
      <c r="A4" s="53" t="s">
        <v>1</v>
      </c>
      <c r="B4" s="53"/>
      <c r="C4" s="53"/>
      <c r="D4" s="53"/>
      <c r="E4" s="53"/>
      <c r="F4" s="53"/>
      <c r="G4" s="53"/>
      <c r="H4" s="53"/>
    </row>
    <row r="5" spans="1:8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x14ac:dyDescent="0.25">
      <c r="A6" s="2">
        <v>2020</v>
      </c>
      <c r="B6" s="3">
        <v>7.29</v>
      </c>
      <c r="C6" s="2" t="s">
        <v>10</v>
      </c>
      <c r="D6" s="2">
        <v>8.1999999999999993</v>
      </c>
      <c r="E6" s="4">
        <v>1340</v>
      </c>
      <c r="F6" s="5">
        <v>0.28000000000000003</v>
      </c>
      <c r="G6" s="5">
        <v>0.52</v>
      </c>
      <c r="H6" s="5">
        <v>0.2</v>
      </c>
    </row>
    <row r="7" spans="1:8" x14ac:dyDescent="0.25">
      <c r="A7" s="6">
        <v>2021</v>
      </c>
      <c r="B7" s="7">
        <v>8.5500000000000007</v>
      </c>
      <c r="C7" s="8">
        <v>0.17299999999999999</v>
      </c>
      <c r="D7" s="6">
        <v>8.8000000000000007</v>
      </c>
      <c r="E7" s="9">
        <v>1420</v>
      </c>
      <c r="F7" s="10">
        <v>0.25</v>
      </c>
      <c r="G7" s="10">
        <v>0.55000000000000004</v>
      </c>
      <c r="H7" s="10">
        <v>0.2</v>
      </c>
    </row>
    <row r="8" spans="1:8" x14ac:dyDescent="0.25">
      <c r="A8" s="2">
        <v>2022</v>
      </c>
      <c r="B8" s="3">
        <v>21.6</v>
      </c>
      <c r="C8" s="11">
        <v>1.526</v>
      </c>
      <c r="D8" s="2">
        <v>9.1</v>
      </c>
      <c r="E8" s="4">
        <v>1680</v>
      </c>
      <c r="F8" s="5">
        <v>0.27</v>
      </c>
      <c r="G8" s="5">
        <v>0.56999999999999995</v>
      </c>
      <c r="H8" s="5">
        <v>0.16</v>
      </c>
    </row>
    <row r="9" spans="1:8" x14ac:dyDescent="0.25">
      <c r="A9" s="6">
        <v>2023</v>
      </c>
      <c r="B9" s="7">
        <v>27.88</v>
      </c>
      <c r="C9" s="8">
        <v>0.29099999999999998</v>
      </c>
      <c r="D9" s="6">
        <v>9.4</v>
      </c>
      <c r="E9" s="9">
        <v>1820</v>
      </c>
      <c r="F9" s="10">
        <v>0.26</v>
      </c>
      <c r="G9" s="10">
        <v>0.59</v>
      </c>
      <c r="H9" s="10">
        <v>0.15</v>
      </c>
    </row>
    <row r="10" spans="1:8" x14ac:dyDescent="0.25">
      <c r="A10" s="2">
        <v>2024</v>
      </c>
      <c r="B10" s="3">
        <v>31.2</v>
      </c>
      <c r="C10" s="11">
        <v>0.11899999999999999</v>
      </c>
      <c r="D10" s="2">
        <v>9.6999999999999993</v>
      </c>
      <c r="E10" s="4">
        <v>1970</v>
      </c>
      <c r="F10" s="5">
        <v>0.25</v>
      </c>
      <c r="G10" s="5">
        <v>0.61</v>
      </c>
      <c r="H10" s="5">
        <v>0.14000000000000001</v>
      </c>
    </row>
    <row r="11" spans="1:8" x14ac:dyDescent="0.25">
      <c r="A11" s="12" t="s">
        <v>11</v>
      </c>
      <c r="B11" s="13">
        <f>SUM(B6:B10)</f>
        <v>96.52</v>
      </c>
      <c r="C11" s="14">
        <f>AVERAGE(C7:C10)</f>
        <v>0.52725</v>
      </c>
      <c r="D11" s="15">
        <f>AVERAGE(D6:D10)</f>
        <v>9.0400000000000009</v>
      </c>
      <c r="E11" s="16">
        <f>AVERAGE(E6:E10)</f>
        <v>1646</v>
      </c>
      <c r="F11" s="12"/>
      <c r="G11" s="12"/>
      <c r="H11" s="12"/>
    </row>
    <row r="13" spans="1:8" ht="15" customHeight="1" x14ac:dyDescent="0.25">
      <c r="A13" s="53" t="s">
        <v>12</v>
      </c>
      <c r="B13" s="53"/>
      <c r="C13" s="53"/>
      <c r="D13" s="53"/>
      <c r="E13" s="53"/>
      <c r="F13" s="53"/>
      <c r="G13" s="53"/>
      <c r="H13" s="53"/>
    </row>
    <row r="14" spans="1:8" x14ac:dyDescent="0.25">
      <c r="A14" s="1" t="s">
        <v>13</v>
      </c>
      <c r="B14" s="1" t="s">
        <v>14</v>
      </c>
      <c r="C14" s="1" t="s">
        <v>15</v>
      </c>
      <c r="D14" s="1" t="s">
        <v>4</v>
      </c>
      <c r="E14" s="1" t="s">
        <v>16</v>
      </c>
      <c r="F14" s="1" t="s">
        <v>17</v>
      </c>
      <c r="G14" s="1" t="s">
        <v>18</v>
      </c>
      <c r="H14" s="1" t="s">
        <v>19</v>
      </c>
    </row>
    <row r="15" spans="1:8" x14ac:dyDescent="0.25">
      <c r="A15" s="6">
        <v>1</v>
      </c>
      <c r="B15" s="17" t="s">
        <v>20</v>
      </c>
      <c r="C15" s="7">
        <v>3.85</v>
      </c>
      <c r="D15" s="8">
        <v>0.224</v>
      </c>
      <c r="E15" s="6">
        <v>7</v>
      </c>
      <c r="F15" s="9">
        <v>1650</v>
      </c>
      <c r="G15" s="17" t="s">
        <v>21</v>
      </c>
      <c r="H15" s="17" t="s">
        <v>22</v>
      </c>
    </row>
    <row r="16" spans="1:8" x14ac:dyDescent="0.25">
      <c r="A16" s="2">
        <v>2</v>
      </c>
      <c r="B16" s="18" t="s">
        <v>23</v>
      </c>
      <c r="C16" s="3">
        <v>3.42</v>
      </c>
      <c r="D16" s="11">
        <v>0.187</v>
      </c>
      <c r="E16" s="2">
        <v>5</v>
      </c>
      <c r="F16" s="4">
        <v>2400</v>
      </c>
      <c r="G16" s="18" t="s">
        <v>24</v>
      </c>
      <c r="H16" s="18" t="s">
        <v>22</v>
      </c>
    </row>
    <row r="17" spans="1:8" x14ac:dyDescent="0.25">
      <c r="A17" s="6">
        <v>3</v>
      </c>
      <c r="B17" s="17" t="s">
        <v>25</v>
      </c>
      <c r="C17" s="7">
        <v>2.67</v>
      </c>
      <c r="D17" s="8">
        <v>0.192</v>
      </c>
      <c r="E17" s="6">
        <v>6</v>
      </c>
      <c r="F17" s="9">
        <v>2100</v>
      </c>
      <c r="G17" s="17" t="s">
        <v>26</v>
      </c>
      <c r="H17" s="17" t="s">
        <v>22</v>
      </c>
    </row>
    <row r="18" spans="1:8" x14ac:dyDescent="0.25">
      <c r="A18" s="2">
        <v>4</v>
      </c>
      <c r="B18" s="18" t="s">
        <v>27</v>
      </c>
      <c r="C18" s="3">
        <v>2.14</v>
      </c>
      <c r="D18" s="11">
        <v>0.315</v>
      </c>
      <c r="E18" s="2">
        <v>6</v>
      </c>
      <c r="F18" s="4">
        <v>1480</v>
      </c>
      <c r="G18" s="18" t="s">
        <v>28</v>
      </c>
      <c r="H18" s="18" t="s">
        <v>22</v>
      </c>
    </row>
    <row r="19" spans="1:8" x14ac:dyDescent="0.25">
      <c r="A19" s="6">
        <v>5</v>
      </c>
      <c r="B19" s="17" t="s">
        <v>29</v>
      </c>
      <c r="C19" s="7">
        <v>1.89</v>
      </c>
      <c r="D19" s="8">
        <v>0.28299999999999997</v>
      </c>
      <c r="E19" s="6">
        <v>7</v>
      </c>
      <c r="F19" s="9">
        <v>1720</v>
      </c>
      <c r="G19" s="17" t="s">
        <v>30</v>
      </c>
      <c r="H19" s="17" t="s">
        <v>22</v>
      </c>
    </row>
    <row r="20" spans="1:8" x14ac:dyDescent="0.25">
      <c r="A20" s="2">
        <v>6</v>
      </c>
      <c r="B20" s="18" t="s">
        <v>31</v>
      </c>
      <c r="C20" s="3">
        <v>1.65</v>
      </c>
      <c r="D20" s="11">
        <v>0.158</v>
      </c>
      <c r="E20" s="2">
        <v>8</v>
      </c>
      <c r="F20" s="4">
        <v>1180</v>
      </c>
      <c r="G20" s="18" t="s">
        <v>32</v>
      </c>
      <c r="H20" s="18" t="s">
        <v>33</v>
      </c>
    </row>
    <row r="21" spans="1:8" x14ac:dyDescent="0.25">
      <c r="A21" s="6">
        <v>7</v>
      </c>
      <c r="B21" s="17" t="s">
        <v>34</v>
      </c>
      <c r="C21" s="7">
        <v>1.44</v>
      </c>
      <c r="D21" s="8">
        <v>0.123</v>
      </c>
      <c r="E21" s="6">
        <v>11</v>
      </c>
      <c r="F21" s="9">
        <v>3800</v>
      </c>
      <c r="G21" s="17" t="s">
        <v>35</v>
      </c>
      <c r="H21" s="17" t="s">
        <v>36</v>
      </c>
    </row>
    <row r="22" spans="1:8" x14ac:dyDescent="0.25">
      <c r="A22" s="2">
        <v>8</v>
      </c>
      <c r="B22" s="18" t="s">
        <v>37</v>
      </c>
      <c r="C22" s="3">
        <v>1.38</v>
      </c>
      <c r="D22" s="11">
        <v>9.7000000000000003E-2</v>
      </c>
      <c r="E22" s="2">
        <v>14</v>
      </c>
      <c r="F22" s="4">
        <v>4900</v>
      </c>
      <c r="G22" s="18" t="s">
        <v>38</v>
      </c>
      <c r="H22" s="18" t="s">
        <v>39</v>
      </c>
    </row>
    <row r="23" spans="1:8" x14ac:dyDescent="0.25">
      <c r="A23" s="6">
        <v>9</v>
      </c>
      <c r="B23" s="17" t="s">
        <v>40</v>
      </c>
      <c r="C23" s="7">
        <v>1.22</v>
      </c>
      <c r="D23" s="8">
        <v>8.4000000000000005E-2</v>
      </c>
      <c r="E23" s="6">
        <v>6</v>
      </c>
      <c r="F23" s="9">
        <v>820</v>
      </c>
      <c r="G23" s="17" t="s">
        <v>41</v>
      </c>
      <c r="H23" s="17" t="s">
        <v>42</v>
      </c>
    </row>
    <row r="24" spans="1:8" x14ac:dyDescent="0.25">
      <c r="A24" s="2">
        <v>10</v>
      </c>
      <c r="B24" s="18" t="s">
        <v>43</v>
      </c>
      <c r="C24" s="3">
        <v>1.18</v>
      </c>
      <c r="D24" s="11">
        <v>0.246</v>
      </c>
      <c r="E24" s="2">
        <v>5</v>
      </c>
      <c r="F24" s="4">
        <v>3200</v>
      </c>
      <c r="G24" s="18" t="s">
        <v>32</v>
      </c>
      <c r="H24" s="18" t="s">
        <v>44</v>
      </c>
    </row>
    <row r="26" spans="1:8" ht="15" customHeight="1" x14ac:dyDescent="0.25">
      <c r="A26" s="53" t="s">
        <v>45</v>
      </c>
      <c r="B26" s="53"/>
      <c r="C26" s="53"/>
      <c r="D26" s="53"/>
      <c r="E26" s="53"/>
      <c r="F26" s="53"/>
      <c r="G26" s="53"/>
      <c r="H26" s="53"/>
    </row>
    <row r="27" spans="1:8" x14ac:dyDescent="0.25">
      <c r="A27" s="1" t="s">
        <v>46</v>
      </c>
      <c r="B27" s="1" t="s">
        <v>47</v>
      </c>
      <c r="C27" s="1" t="s">
        <v>48</v>
      </c>
      <c r="D27" s="1" t="s">
        <v>49</v>
      </c>
      <c r="E27" s="1" t="s">
        <v>50</v>
      </c>
      <c r="F27" s="1" t="s">
        <v>51</v>
      </c>
      <c r="G27" s="1" t="s">
        <v>52</v>
      </c>
      <c r="H27" s="1" t="s">
        <v>53</v>
      </c>
    </row>
    <row r="28" spans="1:8" x14ac:dyDescent="0.25">
      <c r="A28" s="18" t="s">
        <v>54</v>
      </c>
      <c r="B28" s="2">
        <v>128</v>
      </c>
      <c r="C28" s="11">
        <v>9.8000000000000004E-2</v>
      </c>
      <c r="D28" s="18" t="s">
        <v>55</v>
      </c>
      <c r="E28" s="19">
        <v>32000</v>
      </c>
      <c r="F28" s="11">
        <v>0.88</v>
      </c>
      <c r="G28" s="18" t="s">
        <v>56</v>
      </c>
      <c r="H28" s="11">
        <v>0.124</v>
      </c>
    </row>
    <row r="29" spans="1:8" x14ac:dyDescent="0.25">
      <c r="A29" s="17" t="s">
        <v>57</v>
      </c>
      <c r="B29" s="6">
        <v>142</v>
      </c>
      <c r="C29" s="8">
        <v>0.109</v>
      </c>
      <c r="D29" s="17" t="s">
        <v>58</v>
      </c>
      <c r="E29" s="20">
        <v>31500</v>
      </c>
      <c r="F29" s="8">
        <v>0.91</v>
      </c>
      <c r="G29" s="17" t="s">
        <v>56</v>
      </c>
      <c r="H29" s="8">
        <v>0.14099999999999999</v>
      </c>
    </row>
    <row r="30" spans="1:8" x14ac:dyDescent="0.25">
      <c r="A30" s="18" t="s">
        <v>59</v>
      </c>
      <c r="B30" s="2">
        <v>118</v>
      </c>
      <c r="C30" s="11">
        <v>9.0999999999999998E-2</v>
      </c>
      <c r="D30" s="18" t="s">
        <v>60</v>
      </c>
      <c r="E30" s="19">
        <v>33200</v>
      </c>
      <c r="F30" s="11">
        <v>0.82</v>
      </c>
      <c r="G30" s="18" t="s">
        <v>61</v>
      </c>
      <c r="H30" s="11">
        <v>9.8000000000000004E-2</v>
      </c>
    </row>
    <row r="31" spans="1:8" x14ac:dyDescent="0.25">
      <c r="A31" s="17" t="s">
        <v>62</v>
      </c>
      <c r="B31" s="6">
        <v>96</v>
      </c>
      <c r="C31" s="8">
        <v>7.3999999999999996E-2</v>
      </c>
      <c r="D31" s="17" t="s">
        <v>63</v>
      </c>
      <c r="E31" s="20">
        <v>29500</v>
      </c>
      <c r="F31" s="8">
        <v>0.74</v>
      </c>
      <c r="G31" s="17" t="s">
        <v>64</v>
      </c>
      <c r="H31" s="8">
        <v>5.1999999999999998E-2</v>
      </c>
    </row>
    <row r="32" spans="1:8" x14ac:dyDescent="0.25">
      <c r="A32" s="18" t="s">
        <v>65</v>
      </c>
      <c r="B32" s="2">
        <v>122</v>
      </c>
      <c r="C32" s="11">
        <v>9.4E-2</v>
      </c>
      <c r="D32" s="18" t="s">
        <v>60</v>
      </c>
      <c r="E32" s="19">
        <v>35800</v>
      </c>
      <c r="F32" s="11">
        <v>0.8</v>
      </c>
      <c r="G32" s="18" t="s">
        <v>61</v>
      </c>
      <c r="H32" s="11">
        <v>0.113</v>
      </c>
    </row>
    <row r="33" spans="1:8" x14ac:dyDescent="0.25">
      <c r="A33" s="17" t="s">
        <v>66</v>
      </c>
      <c r="B33" s="6">
        <v>131</v>
      </c>
      <c r="C33" s="8">
        <v>0.10100000000000001</v>
      </c>
      <c r="D33" s="17" t="s">
        <v>67</v>
      </c>
      <c r="E33" s="20">
        <v>42000</v>
      </c>
      <c r="F33" s="8">
        <v>0.84</v>
      </c>
      <c r="G33" s="17" t="s">
        <v>56</v>
      </c>
      <c r="H33" s="8">
        <v>0.13700000000000001</v>
      </c>
    </row>
    <row r="34" spans="1:8" x14ac:dyDescent="0.25">
      <c r="A34" s="18" t="s">
        <v>68</v>
      </c>
      <c r="B34" s="2">
        <v>138</v>
      </c>
      <c r="C34" s="11">
        <v>0.106</v>
      </c>
      <c r="D34" s="18" t="s">
        <v>58</v>
      </c>
      <c r="E34" s="19">
        <v>41200</v>
      </c>
      <c r="F34" s="11">
        <v>0.87</v>
      </c>
      <c r="G34" s="18" t="s">
        <v>56</v>
      </c>
      <c r="H34" s="11">
        <v>0.16200000000000001</v>
      </c>
    </row>
    <row r="35" spans="1:8" x14ac:dyDescent="0.25">
      <c r="A35" s="17" t="s">
        <v>69</v>
      </c>
      <c r="B35" s="6">
        <v>112</v>
      </c>
      <c r="C35" s="8">
        <v>8.5999999999999993E-2</v>
      </c>
      <c r="D35" s="17" t="s">
        <v>58</v>
      </c>
      <c r="E35" s="20">
        <v>39800</v>
      </c>
      <c r="F35" s="8">
        <v>0.79</v>
      </c>
      <c r="G35" s="17" t="s">
        <v>61</v>
      </c>
      <c r="H35" s="8">
        <v>8.8999999999999996E-2</v>
      </c>
    </row>
    <row r="36" spans="1:8" x14ac:dyDescent="0.25">
      <c r="A36" s="18" t="s">
        <v>70</v>
      </c>
      <c r="B36" s="2">
        <v>72</v>
      </c>
      <c r="C36" s="11">
        <v>5.5E-2</v>
      </c>
      <c r="D36" s="18" t="s">
        <v>55</v>
      </c>
      <c r="E36" s="19">
        <v>28400</v>
      </c>
      <c r="F36" s="11">
        <v>0.61</v>
      </c>
      <c r="G36" s="18" t="s">
        <v>71</v>
      </c>
      <c r="H36" s="11">
        <v>3.1E-2</v>
      </c>
    </row>
    <row r="37" spans="1:8" x14ac:dyDescent="0.25">
      <c r="A37" s="17" t="s">
        <v>72</v>
      </c>
      <c r="B37" s="6">
        <v>108</v>
      </c>
      <c r="C37" s="8">
        <v>8.3000000000000004E-2</v>
      </c>
      <c r="D37" s="17" t="s">
        <v>58</v>
      </c>
      <c r="E37" s="20">
        <v>31200</v>
      </c>
      <c r="F37" s="8">
        <v>0.77</v>
      </c>
      <c r="G37" s="17" t="s">
        <v>64</v>
      </c>
      <c r="H37" s="8">
        <v>9.4E-2</v>
      </c>
    </row>
    <row r="38" spans="1:8" x14ac:dyDescent="0.25">
      <c r="A38" s="18" t="s">
        <v>73</v>
      </c>
      <c r="B38" s="2">
        <v>124</v>
      </c>
      <c r="C38" s="11">
        <v>9.5000000000000001E-2</v>
      </c>
      <c r="D38" s="18" t="s">
        <v>74</v>
      </c>
      <c r="E38" s="19">
        <v>33800</v>
      </c>
      <c r="F38" s="11">
        <v>0.86</v>
      </c>
      <c r="G38" s="18" t="s">
        <v>61</v>
      </c>
      <c r="H38" s="11">
        <v>0.11799999999999999</v>
      </c>
    </row>
    <row r="39" spans="1:8" x14ac:dyDescent="0.25">
      <c r="A39" s="17" t="s">
        <v>75</v>
      </c>
      <c r="B39" s="6">
        <v>148</v>
      </c>
      <c r="C39" s="8">
        <v>0.113</v>
      </c>
      <c r="D39" s="17" t="s">
        <v>58</v>
      </c>
      <c r="E39" s="20">
        <v>44500</v>
      </c>
      <c r="F39" s="8">
        <v>0.93</v>
      </c>
      <c r="G39" s="17" t="s">
        <v>56</v>
      </c>
      <c r="H39" s="8">
        <v>0.17599999999999999</v>
      </c>
    </row>
    <row r="41" spans="1:8" ht="15" customHeight="1" x14ac:dyDescent="0.25">
      <c r="A41" s="53" t="s">
        <v>76</v>
      </c>
      <c r="B41" s="53"/>
      <c r="C41" s="53"/>
      <c r="D41" s="53"/>
      <c r="E41" s="53"/>
      <c r="F41" s="53"/>
      <c r="G41" s="53"/>
      <c r="H41" s="53"/>
    </row>
    <row r="42" spans="1:8" x14ac:dyDescent="0.25">
      <c r="A42" s="1" t="s">
        <v>13</v>
      </c>
      <c r="B42" s="1" t="s">
        <v>77</v>
      </c>
      <c r="C42" s="1" t="s">
        <v>78</v>
      </c>
      <c r="D42" s="1" t="s">
        <v>79</v>
      </c>
      <c r="E42" s="1" t="s">
        <v>80</v>
      </c>
      <c r="F42" s="1" t="s">
        <v>81</v>
      </c>
      <c r="G42" s="1" t="s">
        <v>82</v>
      </c>
      <c r="H42" s="1" t="s">
        <v>83</v>
      </c>
    </row>
    <row r="43" spans="1:8" x14ac:dyDescent="0.25">
      <c r="A43" s="6">
        <v>1</v>
      </c>
      <c r="B43" s="17" t="s">
        <v>84</v>
      </c>
      <c r="C43" s="21">
        <v>68.400000000000006</v>
      </c>
      <c r="D43" s="8">
        <v>0.219</v>
      </c>
      <c r="E43" s="17" t="s">
        <v>85</v>
      </c>
      <c r="F43" s="20">
        <v>165000</v>
      </c>
      <c r="G43" s="17" t="s">
        <v>86</v>
      </c>
      <c r="H43" s="8">
        <v>0.14199999999999999</v>
      </c>
    </row>
    <row r="44" spans="1:8" x14ac:dyDescent="0.25">
      <c r="A44" s="2">
        <v>2</v>
      </c>
      <c r="B44" s="18" t="s">
        <v>87</v>
      </c>
      <c r="C44" s="22">
        <v>57.2</v>
      </c>
      <c r="D44" s="11">
        <v>0.183</v>
      </c>
      <c r="E44" s="18" t="s">
        <v>88</v>
      </c>
      <c r="F44" s="19">
        <v>152000</v>
      </c>
      <c r="G44" s="18" t="s">
        <v>89</v>
      </c>
      <c r="H44" s="11">
        <v>0.16800000000000001</v>
      </c>
    </row>
    <row r="45" spans="1:8" x14ac:dyDescent="0.25">
      <c r="A45" s="6">
        <v>3</v>
      </c>
      <c r="B45" s="17" t="s">
        <v>90</v>
      </c>
      <c r="C45" s="21">
        <v>38.6</v>
      </c>
      <c r="D45" s="8">
        <v>0.124</v>
      </c>
      <c r="E45" s="17" t="s">
        <v>91</v>
      </c>
      <c r="F45" s="20">
        <v>188000</v>
      </c>
      <c r="G45" s="17" t="s">
        <v>92</v>
      </c>
      <c r="H45" s="8">
        <v>0.114</v>
      </c>
    </row>
    <row r="46" spans="1:8" x14ac:dyDescent="0.25">
      <c r="A46" s="2">
        <v>4</v>
      </c>
      <c r="B46" s="18" t="s">
        <v>93</v>
      </c>
      <c r="C46" s="22">
        <v>29.8</v>
      </c>
      <c r="D46" s="11">
        <v>9.5000000000000001E-2</v>
      </c>
      <c r="E46" s="18" t="s">
        <v>94</v>
      </c>
      <c r="F46" s="19">
        <v>143000</v>
      </c>
      <c r="G46" s="18" t="s">
        <v>95</v>
      </c>
      <c r="H46" s="11">
        <v>0.183</v>
      </c>
    </row>
    <row r="47" spans="1:8" x14ac:dyDescent="0.25">
      <c r="A47" s="6">
        <v>5</v>
      </c>
      <c r="B47" s="17" t="s">
        <v>96</v>
      </c>
      <c r="C47" s="21">
        <v>24.5</v>
      </c>
      <c r="D47" s="8">
        <v>7.8E-2</v>
      </c>
      <c r="E47" s="17" t="s">
        <v>97</v>
      </c>
      <c r="F47" s="20">
        <v>128000</v>
      </c>
      <c r="G47" s="17" t="s">
        <v>98</v>
      </c>
      <c r="H47" s="8">
        <v>0.127</v>
      </c>
    </row>
    <row r="48" spans="1:8" x14ac:dyDescent="0.25">
      <c r="A48" s="2">
        <v>6</v>
      </c>
      <c r="B48" s="18" t="s">
        <v>99</v>
      </c>
      <c r="C48" s="22">
        <v>18.2</v>
      </c>
      <c r="D48" s="11">
        <v>5.8000000000000003E-2</v>
      </c>
      <c r="E48" s="18" t="s">
        <v>100</v>
      </c>
      <c r="F48" s="19">
        <v>118000</v>
      </c>
      <c r="G48" s="18" t="s">
        <v>101</v>
      </c>
      <c r="H48" s="11">
        <v>9.1999999999999998E-2</v>
      </c>
    </row>
    <row r="49" spans="1:8" x14ac:dyDescent="0.25">
      <c r="A49" s="6">
        <v>7</v>
      </c>
      <c r="B49" s="17" t="s">
        <v>102</v>
      </c>
      <c r="C49" s="21">
        <v>14.6</v>
      </c>
      <c r="D49" s="8">
        <v>4.7E-2</v>
      </c>
      <c r="E49" s="17" t="s">
        <v>103</v>
      </c>
      <c r="F49" s="20">
        <v>142000</v>
      </c>
      <c r="G49" s="17" t="s">
        <v>104</v>
      </c>
      <c r="H49" s="8">
        <v>7.8E-2</v>
      </c>
    </row>
    <row r="50" spans="1:8" x14ac:dyDescent="0.25">
      <c r="A50" s="2">
        <v>8</v>
      </c>
      <c r="B50" s="18" t="s">
        <v>105</v>
      </c>
      <c r="C50" s="22">
        <v>13.8</v>
      </c>
      <c r="D50" s="11">
        <v>4.3999999999999997E-2</v>
      </c>
      <c r="E50" s="18" t="s">
        <v>106</v>
      </c>
      <c r="F50" s="19">
        <v>110000</v>
      </c>
      <c r="G50" s="18" t="s">
        <v>107</v>
      </c>
      <c r="H50" s="11">
        <v>8.1000000000000003E-2</v>
      </c>
    </row>
    <row r="51" spans="1:8" x14ac:dyDescent="0.25">
      <c r="A51" s="6">
        <v>9</v>
      </c>
      <c r="B51" s="17" t="s">
        <v>108</v>
      </c>
      <c r="C51" s="21">
        <v>12.4</v>
      </c>
      <c r="D51" s="8">
        <v>0.04</v>
      </c>
      <c r="E51" s="17" t="s">
        <v>109</v>
      </c>
      <c r="F51" s="20">
        <v>175000</v>
      </c>
      <c r="G51" s="17" t="s">
        <v>110</v>
      </c>
      <c r="H51" s="8">
        <v>6.9000000000000006E-2</v>
      </c>
    </row>
    <row r="52" spans="1:8" x14ac:dyDescent="0.25">
      <c r="A52" s="2">
        <v>10</v>
      </c>
      <c r="B52" s="18" t="s">
        <v>111</v>
      </c>
      <c r="C52" s="22">
        <v>11.7</v>
      </c>
      <c r="D52" s="11">
        <v>3.6999999999999998E-2</v>
      </c>
      <c r="E52" s="18" t="s">
        <v>112</v>
      </c>
      <c r="F52" s="19">
        <v>158000</v>
      </c>
      <c r="G52" s="18" t="s">
        <v>113</v>
      </c>
      <c r="H52" s="11">
        <v>0.19400000000000001</v>
      </c>
    </row>
    <row r="53" spans="1:8" x14ac:dyDescent="0.25">
      <c r="A53" s="6">
        <v>11</v>
      </c>
      <c r="B53" s="17" t="s">
        <v>114</v>
      </c>
      <c r="C53" s="21">
        <v>10.199999999999999</v>
      </c>
      <c r="D53" s="8">
        <v>3.3000000000000002E-2</v>
      </c>
      <c r="E53" s="17" t="s">
        <v>115</v>
      </c>
      <c r="F53" s="20">
        <v>132000</v>
      </c>
      <c r="G53" s="17" t="s">
        <v>98</v>
      </c>
      <c r="H53" s="8">
        <v>0.105</v>
      </c>
    </row>
    <row r="54" spans="1:8" x14ac:dyDescent="0.25">
      <c r="A54" s="2">
        <v>12</v>
      </c>
      <c r="B54" s="18" t="s">
        <v>116</v>
      </c>
      <c r="C54" s="22">
        <v>13.6</v>
      </c>
      <c r="D54" s="11">
        <v>4.3999999999999997E-2</v>
      </c>
      <c r="E54" s="18" t="s">
        <v>117</v>
      </c>
      <c r="F54" s="19">
        <v>125000</v>
      </c>
      <c r="G54" s="18" t="s">
        <v>118</v>
      </c>
      <c r="H54" s="11">
        <v>0.09</v>
      </c>
    </row>
    <row r="56" spans="1:8" ht="15" customHeight="1" x14ac:dyDescent="0.25">
      <c r="A56" s="53" t="s">
        <v>119</v>
      </c>
      <c r="B56" s="53"/>
      <c r="C56" s="53"/>
      <c r="D56" s="53"/>
      <c r="E56" s="53"/>
      <c r="F56" s="53"/>
      <c r="G56" s="53"/>
      <c r="H56" s="53"/>
    </row>
    <row r="57" spans="1:8" x14ac:dyDescent="0.25">
      <c r="A57" s="1" t="s">
        <v>120</v>
      </c>
      <c r="B57" s="1" t="s">
        <v>121</v>
      </c>
      <c r="C57" s="1" t="s">
        <v>6</v>
      </c>
      <c r="D57" s="1" t="s">
        <v>16</v>
      </c>
      <c r="E57" s="1" t="s">
        <v>122</v>
      </c>
      <c r="F57" s="1" t="s">
        <v>123</v>
      </c>
      <c r="G57" s="1" t="s">
        <v>83</v>
      </c>
      <c r="H57" s="1" t="s">
        <v>15</v>
      </c>
    </row>
    <row r="58" spans="1:8" x14ac:dyDescent="0.25">
      <c r="A58" s="18" t="s">
        <v>124</v>
      </c>
      <c r="B58" s="5">
        <v>0.28000000000000003</v>
      </c>
      <c r="C58" s="4">
        <v>620</v>
      </c>
      <c r="D58" s="2">
        <v>5</v>
      </c>
      <c r="E58" s="18" t="s">
        <v>125</v>
      </c>
      <c r="F58" s="18" t="s">
        <v>126</v>
      </c>
      <c r="G58" s="11">
        <v>8.4000000000000005E-2</v>
      </c>
      <c r="H58" s="3">
        <v>8.74</v>
      </c>
    </row>
    <row r="59" spans="1:8" x14ac:dyDescent="0.25">
      <c r="A59" s="17" t="s">
        <v>127</v>
      </c>
      <c r="B59" s="10">
        <v>0.42</v>
      </c>
      <c r="C59" s="9">
        <v>1480</v>
      </c>
      <c r="D59" s="6">
        <v>7</v>
      </c>
      <c r="E59" s="17" t="s">
        <v>128</v>
      </c>
      <c r="F59" s="17" t="s">
        <v>129</v>
      </c>
      <c r="G59" s="8">
        <v>0.13200000000000001</v>
      </c>
      <c r="H59" s="7">
        <v>13.1</v>
      </c>
    </row>
    <row r="60" spans="1:8" x14ac:dyDescent="0.25">
      <c r="A60" s="18" t="s">
        <v>130</v>
      </c>
      <c r="B60" s="5">
        <v>0.2</v>
      </c>
      <c r="C60" s="4">
        <v>2900</v>
      </c>
      <c r="D60" s="2">
        <v>9</v>
      </c>
      <c r="E60" s="18" t="s">
        <v>131</v>
      </c>
      <c r="F60" s="18" t="s">
        <v>132</v>
      </c>
      <c r="G60" s="11">
        <v>0.157</v>
      </c>
      <c r="H60" s="3">
        <v>6.24</v>
      </c>
    </row>
    <row r="61" spans="1:8" x14ac:dyDescent="0.25">
      <c r="A61" s="17" t="s">
        <v>133</v>
      </c>
      <c r="B61" s="10">
        <v>0.1</v>
      </c>
      <c r="C61" s="9">
        <v>5800</v>
      </c>
      <c r="D61" s="6">
        <v>12</v>
      </c>
      <c r="E61" s="17" t="s">
        <v>134</v>
      </c>
      <c r="F61" s="17" t="s">
        <v>135</v>
      </c>
      <c r="G61" s="8">
        <v>0.189</v>
      </c>
      <c r="H61" s="7">
        <v>3.12</v>
      </c>
    </row>
  </sheetData>
  <mergeCells count="7">
    <mergeCell ref="A41:H41"/>
    <mergeCell ref="A56:H56"/>
    <mergeCell ref="A1:H1"/>
    <mergeCell ref="A2:H2"/>
    <mergeCell ref="A4:H4"/>
    <mergeCell ref="A13:H13"/>
    <mergeCell ref="A26:H26"/>
  </mergeCells>
  <conditionalFormatting sqref="C6:C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:B3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{C6211179-920E-40F6-8C09-3C9063D43198}</x14:id>
        </ext>
      </extLst>
    </cfRule>
  </conditionalFormatting>
  <conditionalFormatting sqref="F15:F24">
    <cfRule type="aboveAverage" dxfId="26" priority="1"/>
    <cfRule type="aboveAverage" dxfId="25" priority="2"/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211179-920E-40F6-8C09-3C9063D43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B28:B39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workbookViewId="0">
      <selection activeCell="C3" sqref="C3"/>
    </sheetView>
  </sheetViews>
  <sheetFormatPr defaultRowHeight="15" x14ac:dyDescent="0.25"/>
  <cols>
    <col min="1" max="1" width="20.7109375" bestFit="1" customWidth="1"/>
    <col min="2" max="2" width="27.140625" bestFit="1" customWidth="1"/>
    <col min="3" max="3" width="22" bestFit="1" customWidth="1"/>
  </cols>
  <sheetData>
    <row r="3" spans="1:3" x14ac:dyDescent="0.25">
      <c r="A3" s="34" t="s">
        <v>326</v>
      </c>
      <c r="B3" t="s">
        <v>328</v>
      </c>
      <c r="C3" s="37" t="s">
        <v>329</v>
      </c>
    </row>
    <row r="4" spans="1:3" x14ac:dyDescent="0.25">
      <c r="A4" s="35">
        <v>2020</v>
      </c>
      <c r="B4" s="36">
        <v>7.29</v>
      </c>
      <c r="C4" s="36">
        <v>1</v>
      </c>
    </row>
    <row r="5" spans="1:3" x14ac:dyDescent="0.25">
      <c r="A5" s="35">
        <v>2021</v>
      </c>
      <c r="B5" s="36">
        <v>8.5500000000000007</v>
      </c>
      <c r="C5" s="36">
        <v>1</v>
      </c>
    </row>
    <row r="6" spans="1:3" x14ac:dyDescent="0.25">
      <c r="A6" s="35">
        <v>2022</v>
      </c>
      <c r="B6" s="36">
        <v>21.6</v>
      </c>
      <c r="C6" s="36">
        <v>1</v>
      </c>
    </row>
    <row r="7" spans="1:3" x14ac:dyDescent="0.25">
      <c r="A7" s="35">
        <v>2023</v>
      </c>
      <c r="B7" s="36">
        <v>27.88</v>
      </c>
      <c r="C7" s="36">
        <v>1</v>
      </c>
    </row>
    <row r="8" spans="1:3" x14ac:dyDescent="0.25">
      <c r="A8" s="35">
        <v>2024</v>
      </c>
      <c r="B8" s="36">
        <v>31.2</v>
      </c>
      <c r="C8" s="36">
        <v>1</v>
      </c>
    </row>
    <row r="9" spans="1:3" x14ac:dyDescent="0.25">
      <c r="A9" s="35" t="s">
        <v>11</v>
      </c>
      <c r="B9" s="36">
        <v>96.52</v>
      </c>
      <c r="C9" s="36">
        <v>1</v>
      </c>
    </row>
    <row r="10" spans="1:3" x14ac:dyDescent="0.25">
      <c r="A10" s="35" t="s">
        <v>327</v>
      </c>
      <c r="B10" s="36">
        <v>193.04</v>
      </c>
      <c r="C10" s="36">
        <v>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H59"/>
  <sheetViews>
    <sheetView showGridLines="0" zoomScaleNormal="100" workbookViewId="0">
      <selection sqref="A1:H1"/>
    </sheetView>
  </sheetViews>
  <sheetFormatPr defaultColWidth="8.7109375" defaultRowHeight="15" x14ac:dyDescent="0.25"/>
  <cols>
    <col min="1" max="1" width="26" customWidth="1"/>
    <col min="2" max="8" width="18" customWidth="1"/>
  </cols>
  <sheetData>
    <row r="1" spans="1:8" ht="36" customHeight="1" x14ac:dyDescent="0.25">
      <c r="A1" s="54" t="s">
        <v>334</v>
      </c>
      <c r="B1" s="55"/>
      <c r="C1" s="55"/>
      <c r="D1" s="55"/>
      <c r="E1" s="55"/>
      <c r="F1" s="55"/>
      <c r="G1" s="55"/>
      <c r="H1" s="55"/>
    </row>
    <row r="2" spans="1:8" x14ac:dyDescent="0.25">
      <c r="A2" s="56" t="s">
        <v>136</v>
      </c>
      <c r="B2" s="56"/>
      <c r="C2" s="56"/>
      <c r="D2" s="56"/>
      <c r="E2" s="56"/>
      <c r="F2" s="56"/>
      <c r="G2" s="56"/>
      <c r="H2" s="56"/>
    </row>
    <row r="4" spans="1:8" ht="15" customHeight="1" x14ac:dyDescent="0.25">
      <c r="A4" s="53" t="s">
        <v>137</v>
      </c>
      <c r="B4" s="53"/>
      <c r="C4" s="53"/>
      <c r="D4" s="53"/>
      <c r="E4" s="53"/>
      <c r="F4" s="53"/>
      <c r="G4" s="53"/>
      <c r="H4" s="53"/>
    </row>
    <row r="5" spans="1:8" x14ac:dyDescent="0.25">
      <c r="A5" s="1" t="s">
        <v>138</v>
      </c>
      <c r="B5" s="1" t="s">
        <v>139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144</v>
      </c>
      <c r="H5" s="1" t="s">
        <v>145</v>
      </c>
    </row>
    <row r="6" spans="1:8" x14ac:dyDescent="0.25">
      <c r="A6" s="18" t="s">
        <v>20</v>
      </c>
      <c r="B6" s="3">
        <v>0.43</v>
      </c>
      <c r="C6" s="3">
        <v>11.15</v>
      </c>
      <c r="D6" s="3">
        <v>28.15</v>
      </c>
      <c r="E6" s="3">
        <v>35.54</v>
      </c>
      <c r="F6" s="11">
        <v>0.26200000000000001</v>
      </c>
      <c r="G6" s="11">
        <v>0.82399999999999995</v>
      </c>
      <c r="H6" s="23">
        <v>35.1</v>
      </c>
    </row>
    <row r="7" spans="1:8" x14ac:dyDescent="0.25">
      <c r="A7" s="17" t="s">
        <v>27</v>
      </c>
      <c r="B7" s="7">
        <v>1.47</v>
      </c>
      <c r="C7" s="7">
        <v>10.07</v>
      </c>
      <c r="D7" s="7">
        <v>20.14</v>
      </c>
      <c r="E7" s="7">
        <v>26.1</v>
      </c>
      <c r="F7" s="8">
        <v>0.29599999999999999</v>
      </c>
      <c r="G7" s="8">
        <v>0.79300000000000004</v>
      </c>
      <c r="H7" s="24">
        <v>21.8</v>
      </c>
    </row>
    <row r="8" spans="1:8" x14ac:dyDescent="0.25">
      <c r="A8" s="18" t="s">
        <v>146</v>
      </c>
      <c r="B8" s="3">
        <v>1.56</v>
      </c>
      <c r="C8" s="3">
        <v>5.89</v>
      </c>
      <c r="D8" s="3">
        <v>11.67</v>
      </c>
      <c r="E8" s="3">
        <v>14.5</v>
      </c>
      <c r="F8" s="11">
        <v>0.24299999999999999</v>
      </c>
      <c r="G8" s="11">
        <v>0.63800000000000001</v>
      </c>
      <c r="H8" s="23">
        <v>12.4</v>
      </c>
    </row>
    <row r="9" spans="1:8" x14ac:dyDescent="0.25">
      <c r="A9" s="17" t="s">
        <v>25</v>
      </c>
      <c r="B9" s="7">
        <v>2.88</v>
      </c>
      <c r="C9" s="7">
        <v>6.32</v>
      </c>
      <c r="D9" s="7">
        <v>13.6</v>
      </c>
      <c r="E9" s="7">
        <v>16.5</v>
      </c>
      <c r="F9" s="8">
        <v>0.21299999999999999</v>
      </c>
      <c r="G9" s="8">
        <v>0.96699999999999997</v>
      </c>
      <c r="H9" s="24">
        <v>19.2</v>
      </c>
    </row>
    <row r="10" spans="1:8" x14ac:dyDescent="0.25">
      <c r="A10" s="18" t="s">
        <v>147</v>
      </c>
      <c r="B10" s="3">
        <v>1.52</v>
      </c>
      <c r="C10" s="3">
        <v>6.19</v>
      </c>
      <c r="D10" s="3">
        <v>9.24</v>
      </c>
      <c r="E10" s="3">
        <v>11.1</v>
      </c>
      <c r="F10" s="11">
        <v>0.20100000000000001</v>
      </c>
      <c r="G10" s="11">
        <v>0.78100000000000003</v>
      </c>
      <c r="H10" s="23">
        <v>17.600000000000001</v>
      </c>
    </row>
    <row r="11" spans="1:8" x14ac:dyDescent="0.25">
      <c r="A11" s="17" t="s">
        <v>148</v>
      </c>
      <c r="B11" s="7">
        <v>0.25</v>
      </c>
      <c r="C11" s="7">
        <v>3.83</v>
      </c>
      <c r="D11" s="7">
        <v>25.07</v>
      </c>
      <c r="E11" s="7">
        <v>36.869999999999997</v>
      </c>
      <c r="F11" s="8">
        <v>0.47099999999999997</v>
      </c>
      <c r="G11" s="8">
        <v>1.0740000000000001</v>
      </c>
      <c r="H11" s="24">
        <v>53.2</v>
      </c>
    </row>
    <row r="12" spans="1:8" x14ac:dyDescent="0.25">
      <c r="A12" s="18" t="s">
        <v>149</v>
      </c>
      <c r="B12" s="3">
        <v>0.97</v>
      </c>
      <c r="C12" s="3">
        <v>3.2</v>
      </c>
      <c r="D12" s="3">
        <v>11.03</v>
      </c>
      <c r="E12" s="3">
        <v>16.34</v>
      </c>
      <c r="F12" s="11">
        <v>0.48099999999999998</v>
      </c>
      <c r="G12" s="11">
        <v>0.89200000000000002</v>
      </c>
      <c r="H12" s="23">
        <v>14.8</v>
      </c>
    </row>
    <row r="13" spans="1:8" x14ac:dyDescent="0.25">
      <c r="A13" s="17" t="s">
        <v>150</v>
      </c>
      <c r="B13" s="7">
        <v>0.16</v>
      </c>
      <c r="C13" s="7">
        <v>3.52</v>
      </c>
      <c r="D13" s="7">
        <v>12.59</v>
      </c>
      <c r="E13" s="7">
        <v>17.5</v>
      </c>
      <c r="F13" s="8">
        <v>0.39</v>
      </c>
      <c r="G13" s="8">
        <v>0.68400000000000005</v>
      </c>
      <c r="H13" s="24">
        <v>9.8000000000000007</v>
      </c>
    </row>
    <row r="14" spans="1:8" x14ac:dyDescent="0.25">
      <c r="A14" s="18" t="s">
        <v>23</v>
      </c>
      <c r="B14" s="3">
        <v>7.28</v>
      </c>
      <c r="C14" s="3">
        <v>14.36</v>
      </c>
      <c r="D14" s="3">
        <v>17.149999999999999</v>
      </c>
      <c r="E14" s="3">
        <v>18.72</v>
      </c>
      <c r="F14" s="11">
        <v>9.1999999999999998E-2</v>
      </c>
      <c r="G14" s="11">
        <v>1.1279999999999999</v>
      </c>
      <c r="H14" s="23">
        <v>38.4</v>
      </c>
    </row>
    <row r="15" spans="1:8" x14ac:dyDescent="0.25">
      <c r="A15" s="17" t="s">
        <v>31</v>
      </c>
      <c r="B15" s="7">
        <v>0.19</v>
      </c>
      <c r="C15" s="7">
        <v>0.72</v>
      </c>
      <c r="D15" s="7">
        <v>1.49</v>
      </c>
      <c r="E15" s="7">
        <v>2.1</v>
      </c>
      <c r="F15" s="8">
        <v>0.40899999999999997</v>
      </c>
      <c r="G15" s="8">
        <v>0.372</v>
      </c>
      <c r="H15" s="24">
        <v>2.4</v>
      </c>
    </row>
    <row r="16" spans="1:8" x14ac:dyDescent="0.25">
      <c r="A16" s="18" t="s">
        <v>40</v>
      </c>
      <c r="B16" s="3">
        <v>0.15</v>
      </c>
      <c r="C16" s="3">
        <v>0.61</v>
      </c>
      <c r="D16" s="3">
        <v>1.05</v>
      </c>
      <c r="E16" s="3">
        <v>1.32</v>
      </c>
      <c r="F16" s="11">
        <v>0.25700000000000001</v>
      </c>
      <c r="G16" s="11">
        <v>0.71299999999999997</v>
      </c>
      <c r="H16" s="23">
        <v>0.8</v>
      </c>
    </row>
    <row r="17" spans="1:8" x14ac:dyDescent="0.25">
      <c r="A17" s="17" t="s">
        <v>43</v>
      </c>
      <c r="B17" s="7">
        <v>0.56000000000000005</v>
      </c>
      <c r="C17" s="7">
        <v>1.67</v>
      </c>
      <c r="D17" s="7">
        <v>1.87</v>
      </c>
      <c r="E17" s="7">
        <v>2.1</v>
      </c>
      <c r="F17" s="8">
        <v>0.123</v>
      </c>
      <c r="G17" s="8">
        <v>1.1000000000000001</v>
      </c>
      <c r="H17" s="24">
        <v>5.0999999999999996</v>
      </c>
    </row>
    <row r="19" spans="1:8" ht="15" customHeight="1" x14ac:dyDescent="0.25">
      <c r="A19" s="53" t="s">
        <v>151</v>
      </c>
      <c r="B19" s="53"/>
      <c r="C19" s="53"/>
      <c r="D19" s="53"/>
      <c r="E19" s="53"/>
      <c r="F19" s="53"/>
      <c r="G19" s="53"/>
      <c r="H19" s="53"/>
    </row>
    <row r="20" spans="1:8" x14ac:dyDescent="0.25">
      <c r="A20" s="1" t="s">
        <v>152</v>
      </c>
      <c r="B20" s="1" t="s">
        <v>153</v>
      </c>
      <c r="C20" s="1" t="s">
        <v>154</v>
      </c>
      <c r="D20" s="1" t="s">
        <v>16</v>
      </c>
      <c r="E20" s="1" t="s">
        <v>155</v>
      </c>
      <c r="F20" s="1" t="s">
        <v>156</v>
      </c>
      <c r="G20" s="1" t="s">
        <v>157</v>
      </c>
      <c r="H20" s="1" t="s">
        <v>158</v>
      </c>
    </row>
    <row r="21" spans="1:8" x14ac:dyDescent="0.25">
      <c r="A21" s="17" t="s">
        <v>159</v>
      </c>
      <c r="B21" s="25">
        <v>285000</v>
      </c>
      <c r="C21" s="20">
        <v>28500</v>
      </c>
      <c r="D21" s="6">
        <v>7</v>
      </c>
      <c r="E21" s="10">
        <v>0.68</v>
      </c>
      <c r="F21" s="10">
        <v>0.18</v>
      </c>
      <c r="G21" s="10">
        <v>0.14000000000000001</v>
      </c>
      <c r="H21" s="8">
        <v>0.314</v>
      </c>
    </row>
    <row r="22" spans="1:8" x14ac:dyDescent="0.25">
      <c r="A22" s="18" t="s">
        <v>160</v>
      </c>
      <c r="B22" s="26">
        <v>312000</v>
      </c>
      <c r="C22" s="19">
        <v>24800</v>
      </c>
      <c r="D22" s="2">
        <v>5</v>
      </c>
      <c r="E22" s="5">
        <v>0.42</v>
      </c>
      <c r="F22" s="5">
        <v>0.38</v>
      </c>
      <c r="G22" s="5">
        <v>0.2</v>
      </c>
      <c r="H22" s="11">
        <v>0.248</v>
      </c>
    </row>
    <row r="23" spans="1:8" x14ac:dyDescent="0.25">
      <c r="A23" s="17" t="s">
        <v>161</v>
      </c>
      <c r="B23" s="25">
        <v>198000</v>
      </c>
      <c r="C23" s="20">
        <v>32400</v>
      </c>
      <c r="D23" s="6">
        <v>6</v>
      </c>
      <c r="E23" s="10">
        <v>0.54</v>
      </c>
      <c r="F23" s="10">
        <v>0.32</v>
      </c>
      <c r="G23" s="10">
        <v>0.14000000000000001</v>
      </c>
      <c r="H23" s="8">
        <v>0.28599999999999998</v>
      </c>
    </row>
    <row r="24" spans="1:8" x14ac:dyDescent="0.25">
      <c r="A24" s="18" t="s">
        <v>162</v>
      </c>
      <c r="B24" s="26">
        <v>164000</v>
      </c>
      <c r="C24" s="19">
        <v>26200</v>
      </c>
      <c r="D24" s="2">
        <v>6</v>
      </c>
      <c r="E24" s="5">
        <v>0.62</v>
      </c>
      <c r="F24" s="5">
        <v>0.22</v>
      </c>
      <c r="G24" s="5">
        <v>0.16</v>
      </c>
      <c r="H24" s="11">
        <v>0.34200000000000003</v>
      </c>
    </row>
    <row r="25" spans="1:8" x14ac:dyDescent="0.25">
      <c r="A25" s="17" t="s">
        <v>163</v>
      </c>
      <c r="B25" s="25">
        <v>122000</v>
      </c>
      <c r="C25" s="20">
        <v>18600</v>
      </c>
      <c r="D25" s="6">
        <v>7</v>
      </c>
      <c r="E25" s="10">
        <v>0.72</v>
      </c>
      <c r="F25" s="10">
        <v>0.1</v>
      </c>
      <c r="G25" s="10">
        <v>0.18</v>
      </c>
      <c r="H25" s="8">
        <v>0.29799999999999999</v>
      </c>
    </row>
    <row r="26" spans="1:8" x14ac:dyDescent="0.25">
      <c r="A26" s="18" t="s">
        <v>164</v>
      </c>
      <c r="B26" s="26">
        <v>143000</v>
      </c>
      <c r="C26" s="19">
        <v>35800</v>
      </c>
      <c r="D26" s="2">
        <v>7</v>
      </c>
      <c r="E26" s="5">
        <v>0.78</v>
      </c>
      <c r="F26" s="5">
        <v>0.08</v>
      </c>
      <c r="G26" s="5">
        <v>0.14000000000000001</v>
      </c>
      <c r="H26" s="11">
        <v>0.36499999999999999</v>
      </c>
    </row>
    <row r="27" spans="1:8" x14ac:dyDescent="0.25">
      <c r="A27" s="17" t="s">
        <v>165</v>
      </c>
      <c r="B27" s="25">
        <v>98000</v>
      </c>
      <c r="C27" s="20">
        <v>12400</v>
      </c>
      <c r="D27" s="6">
        <v>5</v>
      </c>
      <c r="E27" s="10">
        <v>0.44</v>
      </c>
      <c r="F27" s="10">
        <v>0.08</v>
      </c>
      <c r="G27" s="10">
        <v>0.48</v>
      </c>
      <c r="H27" s="8">
        <v>0.184</v>
      </c>
    </row>
    <row r="28" spans="1:8" x14ac:dyDescent="0.25">
      <c r="A28" s="18" t="s">
        <v>166</v>
      </c>
      <c r="B28" s="26">
        <v>88000</v>
      </c>
      <c r="C28" s="19">
        <v>42600</v>
      </c>
      <c r="D28" s="2">
        <v>5</v>
      </c>
      <c r="E28" s="5">
        <v>0.88</v>
      </c>
      <c r="F28" s="5">
        <v>0.06</v>
      </c>
      <c r="G28" s="5">
        <v>0.06</v>
      </c>
      <c r="H28" s="11">
        <v>0.28100000000000003</v>
      </c>
    </row>
    <row r="29" spans="1:8" x14ac:dyDescent="0.25">
      <c r="A29" s="17" t="s">
        <v>167</v>
      </c>
      <c r="B29" s="25">
        <v>52000</v>
      </c>
      <c r="C29" s="20">
        <v>68400</v>
      </c>
      <c r="D29" s="6">
        <v>9</v>
      </c>
      <c r="E29" s="10">
        <v>0.82</v>
      </c>
      <c r="F29" s="10">
        <v>0.12</v>
      </c>
      <c r="G29" s="10">
        <v>0.06</v>
      </c>
      <c r="H29" s="8">
        <v>0.42299999999999999</v>
      </c>
    </row>
    <row r="30" spans="1:8" x14ac:dyDescent="0.25">
      <c r="A30" s="18" t="s">
        <v>168</v>
      </c>
      <c r="B30" s="26">
        <v>44000</v>
      </c>
      <c r="C30" s="19">
        <v>58200</v>
      </c>
      <c r="D30" s="2">
        <v>8</v>
      </c>
      <c r="E30" s="5">
        <v>0.79</v>
      </c>
      <c r="F30" s="5">
        <v>0.14000000000000001</v>
      </c>
      <c r="G30" s="5">
        <v>7.0000000000000007E-2</v>
      </c>
      <c r="H30" s="11">
        <v>0.38700000000000001</v>
      </c>
    </row>
    <row r="31" spans="1:8" x14ac:dyDescent="0.25">
      <c r="A31" s="17" t="s">
        <v>169</v>
      </c>
      <c r="B31" s="25">
        <v>38000</v>
      </c>
      <c r="C31" s="20">
        <v>32800</v>
      </c>
      <c r="D31" s="6">
        <v>7</v>
      </c>
      <c r="E31" s="10">
        <v>0.74</v>
      </c>
      <c r="F31" s="10">
        <v>0.18</v>
      </c>
      <c r="G31" s="10">
        <v>0.08</v>
      </c>
      <c r="H31" s="8">
        <v>0.41199999999999998</v>
      </c>
    </row>
    <row r="32" spans="1:8" x14ac:dyDescent="0.25">
      <c r="A32" s="18" t="s">
        <v>170</v>
      </c>
      <c r="B32" s="26">
        <v>68000</v>
      </c>
      <c r="C32" s="19">
        <v>22400</v>
      </c>
      <c r="D32" s="2">
        <v>4</v>
      </c>
      <c r="E32" s="5">
        <v>0.28000000000000003</v>
      </c>
      <c r="F32" s="5">
        <v>0.52</v>
      </c>
      <c r="G32" s="5">
        <v>0.2</v>
      </c>
      <c r="H32" s="11">
        <v>0.221</v>
      </c>
    </row>
    <row r="34" spans="1:8" ht="15" customHeight="1" x14ac:dyDescent="0.25">
      <c r="A34" s="53" t="s">
        <v>171</v>
      </c>
      <c r="B34" s="53"/>
      <c r="C34" s="53"/>
      <c r="D34" s="53"/>
      <c r="E34" s="53"/>
      <c r="F34" s="53"/>
      <c r="G34" s="53"/>
      <c r="H34" s="53"/>
    </row>
    <row r="35" spans="1:8" x14ac:dyDescent="0.25">
      <c r="A35" s="1" t="s">
        <v>172</v>
      </c>
      <c r="B35" s="1" t="s">
        <v>173</v>
      </c>
      <c r="C35" s="1" t="s">
        <v>174</v>
      </c>
      <c r="D35" s="1" t="s">
        <v>175</v>
      </c>
      <c r="E35" s="1" t="s">
        <v>176</v>
      </c>
      <c r="F35" s="1" t="s">
        <v>177</v>
      </c>
      <c r="G35" s="1" t="s">
        <v>178</v>
      </c>
      <c r="H35" s="1" t="s">
        <v>179</v>
      </c>
    </row>
    <row r="36" spans="1:8" x14ac:dyDescent="0.25">
      <c r="A36" s="18" t="s">
        <v>180</v>
      </c>
      <c r="B36" s="5">
        <v>0.18</v>
      </c>
      <c r="C36" s="5">
        <v>0.36</v>
      </c>
      <c r="D36" s="5">
        <v>0.32</v>
      </c>
      <c r="E36" s="5">
        <v>0.14000000000000001</v>
      </c>
      <c r="F36" s="4">
        <v>82</v>
      </c>
      <c r="G36" s="2">
        <v>7</v>
      </c>
      <c r="H36" s="5">
        <v>0.64</v>
      </c>
    </row>
    <row r="37" spans="1:8" x14ac:dyDescent="0.25">
      <c r="A37" s="17" t="s">
        <v>181</v>
      </c>
      <c r="B37" s="10">
        <v>0.08</v>
      </c>
      <c r="C37" s="10">
        <v>0.28000000000000003</v>
      </c>
      <c r="D37" s="10">
        <v>0.38</v>
      </c>
      <c r="E37" s="10">
        <v>0.26</v>
      </c>
      <c r="F37" s="9">
        <v>124</v>
      </c>
      <c r="G37" s="6">
        <v>8</v>
      </c>
      <c r="H37" s="10">
        <v>0.72</v>
      </c>
    </row>
    <row r="38" spans="1:8" x14ac:dyDescent="0.25">
      <c r="A38" s="18" t="s">
        <v>182</v>
      </c>
      <c r="B38" s="5">
        <v>0.1</v>
      </c>
      <c r="C38" s="5">
        <v>0.32</v>
      </c>
      <c r="D38" s="5">
        <v>0.4</v>
      </c>
      <c r="E38" s="5">
        <v>0.18</v>
      </c>
      <c r="F38" s="4">
        <v>108</v>
      </c>
      <c r="G38" s="2">
        <v>9</v>
      </c>
      <c r="H38" s="5">
        <v>0.57999999999999996</v>
      </c>
    </row>
    <row r="39" spans="1:8" x14ac:dyDescent="0.25">
      <c r="A39" s="17" t="s">
        <v>183</v>
      </c>
      <c r="B39" s="10">
        <v>0.12</v>
      </c>
      <c r="C39" s="10">
        <v>0.3</v>
      </c>
      <c r="D39" s="10">
        <v>0.38</v>
      </c>
      <c r="E39" s="10">
        <v>0.2</v>
      </c>
      <c r="F39" s="9">
        <v>96</v>
      </c>
      <c r="G39" s="6">
        <v>7</v>
      </c>
      <c r="H39" s="10">
        <v>0.68</v>
      </c>
    </row>
    <row r="40" spans="1:8" x14ac:dyDescent="0.25">
      <c r="A40" s="18" t="s">
        <v>184</v>
      </c>
      <c r="B40" s="5">
        <v>0.06</v>
      </c>
      <c r="C40" s="5">
        <v>0.22</v>
      </c>
      <c r="D40" s="5">
        <v>0.42</v>
      </c>
      <c r="E40" s="5">
        <v>0.3</v>
      </c>
      <c r="F40" s="4">
        <v>148</v>
      </c>
      <c r="G40" s="2">
        <v>11</v>
      </c>
      <c r="H40" s="5">
        <v>0.54</v>
      </c>
    </row>
    <row r="41" spans="1:8" x14ac:dyDescent="0.25">
      <c r="A41" s="17" t="s">
        <v>185</v>
      </c>
      <c r="B41" s="10">
        <v>0.08</v>
      </c>
      <c r="C41" s="10">
        <v>0.24</v>
      </c>
      <c r="D41" s="10">
        <v>0.4</v>
      </c>
      <c r="E41" s="10">
        <v>0.28000000000000003</v>
      </c>
      <c r="F41" s="9">
        <v>136</v>
      </c>
      <c r="G41" s="6">
        <v>10</v>
      </c>
      <c r="H41" s="10">
        <v>0.52</v>
      </c>
    </row>
    <row r="42" spans="1:8" x14ac:dyDescent="0.25">
      <c r="A42" s="18" t="s">
        <v>186</v>
      </c>
      <c r="B42" s="5">
        <v>0.05</v>
      </c>
      <c r="C42" s="5">
        <v>0.18</v>
      </c>
      <c r="D42" s="5">
        <v>0.42</v>
      </c>
      <c r="E42" s="5">
        <v>0.35</v>
      </c>
      <c r="F42" s="4">
        <v>162</v>
      </c>
      <c r="G42" s="2">
        <v>12</v>
      </c>
      <c r="H42" s="5">
        <v>0.56000000000000005</v>
      </c>
    </row>
    <row r="43" spans="1:8" x14ac:dyDescent="0.25">
      <c r="A43" s="17" t="s">
        <v>187</v>
      </c>
      <c r="B43" s="10">
        <v>0.22</v>
      </c>
      <c r="C43" s="10">
        <v>0.38</v>
      </c>
      <c r="D43" s="10">
        <v>0.28000000000000003</v>
      </c>
      <c r="E43" s="10">
        <v>0.12</v>
      </c>
      <c r="F43" s="9">
        <v>68</v>
      </c>
      <c r="G43" s="6">
        <v>6</v>
      </c>
      <c r="H43" s="10">
        <v>0.7</v>
      </c>
    </row>
    <row r="44" spans="1:8" x14ac:dyDescent="0.25">
      <c r="A44" s="18" t="s">
        <v>188</v>
      </c>
      <c r="B44" s="5">
        <v>0.04</v>
      </c>
      <c r="C44" s="5">
        <v>0.14000000000000001</v>
      </c>
      <c r="D44" s="5">
        <v>0.36</v>
      </c>
      <c r="E44" s="5">
        <v>0.46</v>
      </c>
      <c r="F44" s="4">
        <v>198</v>
      </c>
      <c r="G44" s="2">
        <v>8</v>
      </c>
      <c r="H44" s="5">
        <v>0.42</v>
      </c>
    </row>
    <row r="46" spans="1:8" ht="15" customHeight="1" x14ac:dyDescent="0.25">
      <c r="A46" s="53" t="s">
        <v>189</v>
      </c>
      <c r="B46" s="53"/>
      <c r="C46" s="53"/>
      <c r="D46" s="53"/>
      <c r="E46" s="53"/>
      <c r="F46" s="53"/>
      <c r="G46" s="53"/>
      <c r="H46" s="53"/>
    </row>
    <row r="47" spans="1:8" x14ac:dyDescent="0.25">
      <c r="A47" s="1" t="s">
        <v>14</v>
      </c>
      <c r="B47" s="1" t="s">
        <v>190</v>
      </c>
      <c r="C47" s="1" t="s">
        <v>191</v>
      </c>
      <c r="D47" s="1" t="s">
        <v>192</v>
      </c>
      <c r="E47" s="1" t="s">
        <v>193</v>
      </c>
      <c r="F47" s="1" t="s">
        <v>194</v>
      </c>
      <c r="G47" s="1" t="s">
        <v>195</v>
      </c>
      <c r="H47" s="1" t="s">
        <v>196</v>
      </c>
    </row>
    <row r="48" spans="1:8" x14ac:dyDescent="0.25">
      <c r="A48" s="18" t="s">
        <v>20</v>
      </c>
      <c r="B48" s="18" t="s">
        <v>22</v>
      </c>
      <c r="C48" s="18" t="s">
        <v>197</v>
      </c>
      <c r="D48" s="2">
        <v>312</v>
      </c>
      <c r="E48" s="2">
        <v>14</v>
      </c>
      <c r="F48" s="2">
        <v>4.5</v>
      </c>
      <c r="G48" s="19">
        <v>2200</v>
      </c>
      <c r="H48" s="2">
        <v>18</v>
      </c>
    </row>
    <row r="49" spans="1:8" x14ac:dyDescent="0.25">
      <c r="A49" s="17" t="s">
        <v>23</v>
      </c>
      <c r="B49" s="17" t="s">
        <v>22</v>
      </c>
      <c r="C49" s="17" t="s">
        <v>197</v>
      </c>
      <c r="D49" s="6">
        <v>498</v>
      </c>
      <c r="E49" s="6">
        <v>18</v>
      </c>
      <c r="F49" s="6">
        <v>3.5</v>
      </c>
      <c r="G49" s="20">
        <v>3500</v>
      </c>
      <c r="H49" s="6">
        <v>21</v>
      </c>
    </row>
    <row r="50" spans="1:8" x14ac:dyDescent="0.25">
      <c r="A50" s="18" t="s">
        <v>25</v>
      </c>
      <c r="B50" s="18" t="s">
        <v>22</v>
      </c>
      <c r="C50" s="18" t="s">
        <v>197</v>
      </c>
      <c r="D50" s="2">
        <v>284</v>
      </c>
      <c r="E50" s="2">
        <v>12</v>
      </c>
      <c r="F50" s="2">
        <v>5.5</v>
      </c>
      <c r="G50" s="19">
        <v>0</v>
      </c>
      <c r="H50" s="2">
        <v>24</v>
      </c>
    </row>
    <row r="51" spans="1:8" x14ac:dyDescent="0.25">
      <c r="A51" s="17" t="s">
        <v>27</v>
      </c>
      <c r="B51" s="17" t="s">
        <v>22</v>
      </c>
      <c r="C51" s="17" t="s">
        <v>197</v>
      </c>
      <c r="D51" s="6">
        <v>198</v>
      </c>
      <c r="E51" s="6">
        <v>10</v>
      </c>
      <c r="F51" s="6">
        <v>5</v>
      </c>
      <c r="G51" s="20">
        <v>0</v>
      </c>
      <c r="H51" s="6">
        <v>16</v>
      </c>
    </row>
    <row r="52" spans="1:8" x14ac:dyDescent="0.25">
      <c r="A52" s="18" t="s">
        <v>146</v>
      </c>
      <c r="B52" s="18" t="s">
        <v>22</v>
      </c>
      <c r="C52" s="18" t="s">
        <v>197</v>
      </c>
      <c r="D52" s="2">
        <v>142</v>
      </c>
      <c r="E52" s="2">
        <v>8</v>
      </c>
      <c r="F52" s="2">
        <v>7.5</v>
      </c>
      <c r="G52" s="19">
        <v>2800</v>
      </c>
      <c r="H52" s="2">
        <v>22</v>
      </c>
    </row>
    <row r="53" spans="1:8" x14ac:dyDescent="0.25">
      <c r="A53" s="17" t="s">
        <v>31</v>
      </c>
      <c r="B53" s="17" t="s">
        <v>33</v>
      </c>
      <c r="C53" s="17" t="s">
        <v>197</v>
      </c>
      <c r="D53" s="6">
        <v>168</v>
      </c>
      <c r="E53" s="6">
        <v>9</v>
      </c>
      <c r="F53" s="6">
        <v>3</v>
      </c>
      <c r="G53" s="20">
        <v>3500</v>
      </c>
      <c r="H53" s="6">
        <v>14</v>
      </c>
    </row>
    <row r="54" spans="1:8" x14ac:dyDescent="0.25">
      <c r="A54" s="18" t="s">
        <v>40</v>
      </c>
      <c r="B54" s="18" t="s">
        <v>22</v>
      </c>
      <c r="C54" s="18" t="s">
        <v>197</v>
      </c>
      <c r="D54" s="2">
        <v>224</v>
      </c>
      <c r="E54" s="2">
        <v>10</v>
      </c>
      <c r="F54" s="2">
        <v>1.5</v>
      </c>
      <c r="G54" s="19">
        <v>3000</v>
      </c>
      <c r="H54" s="2">
        <v>12</v>
      </c>
    </row>
    <row r="55" spans="1:8" x14ac:dyDescent="0.25">
      <c r="A55" s="17" t="s">
        <v>43</v>
      </c>
      <c r="B55" s="17" t="s">
        <v>198</v>
      </c>
      <c r="C55" s="17" t="s">
        <v>197</v>
      </c>
      <c r="D55" s="6">
        <v>88</v>
      </c>
      <c r="E55" s="6">
        <v>6</v>
      </c>
      <c r="F55" s="6">
        <v>3</v>
      </c>
      <c r="G55" s="20">
        <v>0</v>
      </c>
      <c r="H55" s="6">
        <v>28</v>
      </c>
    </row>
    <row r="56" spans="1:8" x14ac:dyDescent="0.25">
      <c r="A56" s="18" t="s">
        <v>148</v>
      </c>
      <c r="B56" s="18" t="s">
        <v>199</v>
      </c>
      <c r="C56" s="18" t="s">
        <v>197</v>
      </c>
      <c r="D56" s="2">
        <v>124</v>
      </c>
      <c r="E56" s="2">
        <v>8</v>
      </c>
      <c r="F56" s="2">
        <v>7</v>
      </c>
      <c r="G56" s="19">
        <v>0</v>
      </c>
      <c r="H56" s="2">
        <v>42</v>
      </c>
    </row>
    <row r="57" spans="1:8" x14ac:dyDescent="0.25">
      <c r="A57" s="17" t="s">
        <v>149</v>
      </c>
      <c r="B57" s="17" t="s">
        <v>199</v>
      </c>
      <c r="C57" s="17" t="s">
        <v>197</v>
      </c>
      <c r="D57" s="6">
        <v>98</v>
      </c>
      <c r="E57" s="6">
        <v>7</v>
      </c>
      <c r="F57" s="6">
        <v>7.5</v>
      </c>
      <c r="G57" s="20">
        <v>0</v>
      </c>
      <c r="H57" s="6">
        <v>38</v>
      </c>
    </row>
    <row r="58" spans="1:8" x14ac:dyDescent="0.25">
      <c r="A58" s="18" t="s">
        <v>150</v>
      </c>
      <c r="B58" s="18" t="s">
        <v>200</v>
      </c>
      <c r="C58" s="18" t="s">
        <v>197</v>
      </c>
      <c r="D58" s="2">
        <v>86</v>
      </c>
      <c r="E58" s="2">
        <v>7</v>
      </c>
      <c r="F58" s="2">
        <v>5.5</v>
      </c>
      <c r="G58" s="19">
        <v>2200</v>
      </c>
      <c r="H58" s="2">
        <v>20</v>
      </c>
    </row>
    <row r="59" spans="1:8" x14ac:dyDescent="0.25">
      <c r="A59" s="17" t="s">
        <v>201</v>
      </c>
      <c r="B59" s="17" t="s">
        <v>22</v>
      </c>
      <c r="C59" s="17" t="s">
        <v>197</v>
      </c>
      <c r="D59" s="6">
        <v>186</v>
      </c>
      <c r="E59" s="6">
        <v>8</v>
      </c>
      <c r="F59" s="6">
        <v>4</v>
      </c>
      <c r="G59" s="20">
        <v>0</v>
      </c>
      <c r="H59" s="6">
        <v>18</v>
      </c>
    </row>
  </sheetData>
  <mergeCells count="6">
    <mergeCell ref="A46:H46"/>
    <mergeCell ref="A1:H1"/>
    <mergeCell ref="A2:H2"/>
    <mergeCell ref="A4:H4"/>
    <mergeCell ref="A19:H19"/>
    <mergeCell ref="A34:H3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6"/>
  <sheetViews>
    <sheetView workbookViewId="0">
      <selection activeCell="G19" sqref="G19"/>
    </sheetView>
  </sheetViews>
  <sheetFormatPr defaultRowHeight="15" x14ac:dyDescent="0.25"/>
  <cols>
    <col min="1" max="1" width="21.5703125" bestFit="1" customWidth="1"/>
    <col min="2" max="2" width="24.140625" bestFit="1" customWidth="1"/>
    <col min="3" max="3" width="24" bestFit="1" customWidth="1"/>
    <col min="4" max="4" width="22.42578125" bestFit="1" customWidth="1"/>
    <col min="5" max="5" width="23.5703125" bestFit="1" customWidth="1"/>
  </cols>
  <sheetData>
    <row r="3" spans="1:5" x14ac:dyDescent="0.25">
      <c r="A3" s="34" t="s">
        <v>326</v>
      </c>
      <c r="B3" t="s">
        <v>330</v>
      </c>
      <c r="C3" t="s">
        <v>331</v>
      </c>
      <c r="D3" t="s">
        <v>332</v>
      </c>
      <c r="E3" t="s">
        <v>333</v>
      </c>
    </row>
    <row r="4" spans="1:5" x14ac:dyDescent="0.25">
      <c r="A4" s="35" t="s">
        <v>160</v>
      </c>
      <c r="B4" s="36">
        <v>312000</v>
      </c>
      <c r="C4" s="36">
        <v>24800</v>
      </c>
      <c r="D4" s="36">
        <v>0.248</v>
      </c>
      <c r="E4" s="38">
        <v>92851200000</v>
      </c>
    </row>
    <row r="5" spans="1:5" x14ac:dyDescent="0.25">
      <c r="A5" s="35" t="s">
        <v>159</v>
      </c>
      <c r="B5" s="36">
        <v>285000</v>
      </c>
      <c r="C5" s="36">
        <v>28500</v>
      </c>
      <c r="D5" s="36">
        <v>0.314</v>
      </c>
      <c r="E5" s="38">
        <v>97470000000</v>
      </c>
    </row>
    <row r="6" spans="1:5" x14ac:dyDescent="0.25">
      <c r="A6" s="35" t="s">
        <v>161</v>
      </c>
      <c r="B6" s="36">
        <v>198000</v>
      </c>
      <c r="C6" s="36">
        <v>32400</v>
      </c>
      <c r="D6" s="36">
        <v>0.28599999999999998</v>
      </c>
      <c r="E6" s="38">
        <v>76982400000</v>
      </c>
    </row>
    <row r="7" spans="1:5" x14ac:dyDescent="0.25">
      <c r="A7" s="35" t="s">
        <v>162</v>
      </c>
      <c r="B7" s="36">
        <v>164000</v>
      </c>
      <c r="C7" s="36">
        <v>26200</v>
      </c>
      <c r="D7" s="36">
        <v>0.34200000000000003</v>
      </c>
      <c r="E7" s="38">
        <v>51561600000</v>
      </c>
    </row>
    <row r="8" spans="1:5" x14ac:dyDescent="0.25">
      <c r="A8" s="35" t="s">
        <v>164</v>
      </c>
      <c r="B8" s="36">
        <v>143000</v>
      </c>
      <c r="C8" s="36">
        <v>35800</v>
      </c>
      <c r="D8" s="36">
        <v>0.36499999999999999</v>
      </c>
      <c r="E8" s="38">
        <v>61432800000</v>
      </c>
    </row>
    <row r="9" spans="1:5" x14ac:dyDescent="0.25">
      <c r="A9" s="35" t="s">
        <v>163</v>
      </c>
      <c r="B9" s="36">
        <v>122000</v>
      </c>
      <c r="C9" s="36">
        <v>18600</v>
      </c>
      <c r="D9" s="36">
        <v>0.29799999999999999</v>
      </c>
      <c r="E9" s="38">
        <v>27230400000</v>
      </c>
    </row>
    <row r="10" spans="1:5" x14ac:dyDescent="0.25">
      <c r="A10" s="35" t="s">
        <v>165</v>
      </c>
      <c r="B10" s="36">
        <v>98000</v>
      </c>
      <c r="C10" s="36">
        <v>12400</v>
      </c>
      <c r="D10" s="36">
        <v>0.184</v>
      </c>
      <c r="E10" s="38">
        <v>14582400000</v>
      </c>
    </row>
    <row r="11" spans="1:5" x14ac:dyDescent="0.25">
      <c r="A11" s="35" t="s">
        <v>166</v>
      </c>
      <c r="B11" s="36">
        <v>88000</v>
      </c>
      <c r="C11" s="36">
        <v>42600</v>
      </c>
      <c r="D11" s="36">
        <v>0.28100000000000003</v>
      </c>
      <c r="E11" s="38">
        <v>44985600000</v>
      </c>
    </row>
    <row r="12" spans="1:5" x14ac:dyDescent="0.25">
      <c r="A12" s="35" t="s">
        <v>170</v>
      </c>
      <c r="B12" s="36">
        <v>68000</v>
      </c>
      <c r="C12" s="36">
        <v>22400</v>
      </c>
      <c r="D12" s="36">
        <v>0.221</v>
      </c>
      <c r="E12" s="38">
        <v>18278400000</v>
      </c>
    </row>
    <row r="13" spans="1:5" x14ac:dyDescent="0.25">
      <c r="A13" s="35" t="s">
        <v>167</v>
      </c>
      <c r="B13" s="36">
        <v>52000</v>
      </c>
      <c r="C13" s="36">
        <v>68400</v>
      </c>
      <c r="D13" s="36">
        <v>0.42299999999999999</v>
      </c>
      <c r="E13" s="38">
        <v>42681600000</v>
      </c>
    </row>
    <row r="14" spans="1:5" x14ac:dyDescent="0.25">
      <c r="A14" s="35" t="s">
        <v>168</v>
      </c>
      <c r="B14" s="36">
        <v>44000</v>
      </c>
      <c r="C14" s="36">
        <v>58200</v>
      </c>
      <c r="D14" s="36">
        <v>0.38700000000000001</v>
      </c>
      <c r="E14" s="38">
        <v>30729600000</v>
      </c>
    </row>
    <row r="15" spans="1:5" x14ac:dyDescent="0.25">
      <c r="A15" s="35" t="s">
        <v>169</v>
      </c>
      <c r="B15" s="36">
        <v>38000</v>
      </c>
      <c r="C15" s="36">
        <v>32800</v>
      </c>
      <c r="D15" s="36">
        <v>0.41199999999999998</v>
      </c>
      <c r="E15" s="38">
        <v>14956800000</v>
      </c>
    </row>
    <row r="16" spans="1:5" x14ac:dyDescent="0.25">
      <c r="A16" s="35" t="s">
        <v>327</v>
      </c>
      <c r="B16" s="36">
        <v>1612000</v>
      </c>
      <c r="C16" s="36">
        <v>403100</v>
      </c>
      <c r="D16" s="36">
        <v>3.7610000000000001</v>
      </c>
      <c r="E16" s="38">
        <v>7797566400000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J63"/>
  <sheetViews>
    <sheetView showGridLines="0" zoomScale="85" zoomScaleNormal="85" workbookViewId="0">
      <selection sqref="A1:J1"/>
    </sheetView>
  </sheetViews>
  <sheetFormatPr defaultColWidth="8.7109375" defaultRowHeight="15" x14ac:dyDescent="0.25"/>
  <cols>
    <col min="1" max="1" width="26" customWidth="1"/>
    <col min="2" max="3" width="16" customWidth="1"/>
    <col min="4" max="5" width="16.5703125" customWidth="1"/>
    <col min="6" max="6" width="21" customWidth="1"/>
    <col min="7" max="7" width="16" customWidth="1"/>
    <col min="8" max="8" width="20" customWidth="1"/>
    <col min="9" max="9" width="17.42578125" customWidth="1"/>
    <col min="10" max="10" width="16" customWidth="1"/>
  </cols>
  <sheetData>
    <row r="1" spans="1:10" ht="36" customHeight="1" x14ac:dyDescent="0.25">
      <c r="A1" s="54" t="s">
        <v>336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x14ac:dyDescent="0.25">
      <c r="A2" s="56" t="s">
        <v>202</v>
      </c>
      <c r="B2" s="56"/>
      <c r="C2" s="56"/>
      <c r="D2" s="56"/>
      <c r="E2" s="56"/>
      <c r="F2" s="56"/>
      <c r="G2" s="56"/>
      <c r="H2" s="56"/>
      <c r="I2" s="56"/>
      <c r="J2" s="56"/>
    </row>
    <row r="4" spans="1:10" ht="15" customHeight="1" x14ac:dyDescent="0.25">
      <c r="A4" s="53" t="s">
        <v>203</v>
      </c>
      <c r="B4" s="53"/>
      <c r="C4" s="53"/>
      <c r="D4" s="53"/>
      <c r="E4" s="53"/>
      <c r="F4" s="53"/>
      <c r="G4" s="53"/>
      <c r="H4" s="53"/>
      <c r="I4" s="53"/>
      <c r="J4" s="53"/>
    </row>
    <row r="5" spans="1:10" x14ac:dyDescent="0.25">
      <c r="A5" s="43" t="s">
        <v>204</v>
      </c>
      <c r="B5" s="44" t="s">
        <v>205</v>
      </c>
      <c r="C5" s="44" t="s">
        <v>206</v>
      </c>
      <c r="D5" s="44" t="s">
        <v>207</v>
      </c>
      <c r="E5" s="52" t="s">
        <v>13</v>
      </c>
      <c r="F5" s="44" t="s">
        <v>208</v>
      </c>
      <c r="G5" s="44" t="s">
        <v>209</v>
      </c>
      <c r="H5" s="44" t="s">
        <v>210</v>
      </c>
      <c r="I5" s="44" t="s">
        <v>211</v>
      </c>
      <c r="J5" s="45" t="s">
        <v>212</v>
      </c>
    </row>
    <row r="6" spans="1:10" x14ac:dyDescent="0.25">
      <c r="A6" s="39" t="s">
        <v>213</v>
      </c>
      <c r="B6" s="18" t="s">
        <v>214</v>
      </c>
      <c r="C6" s="18" t="s">
        <v>215</v>
      </c>
      <c r="D6" s="26">
        <v>428</v>
      </c>
      <c r="E6" s="26">
        <f>_xlfn.RANK.EQ(Table1[[#This Row],[Revenue (INR Lakh)]],Table1[Revenue (INR Lakh)],0)</f>
        <v>1</v>
      </c>
      <c r="F6" s="27">
        <v>84.2</v>
      </c>
      <c r="G6" s="11">
        <v>0.14199999999999999</v>
      </c>
      <c r="H6" s="11">
        <v>0.68400000000000005</v>
      </c>
      <c r="I6" s="11">
        <v>0.72099999999999997</v>
      </c>
      <c r="J6" s="41" t="s">
        <v>216</v>
      </c>
    </row>
    <row r="7" spans="1:10" x14ac:dyDescent="0.25">
      <c r="A7" s="40" t="s">
        <v>217</v>
      </c>
      <c r="B7" s="17" t="s">
        <v>218</v>
      </c>
      <c r="C7" s="17" t="s">
        <v>219</v>
      </c>
      <c r="D7" s="25">
        <v>396</v>
      </c>
      <c r="E7" s="25">
        <f>_xlfn.RANK.EQ(Table1[[#This Row],[Revenue (INR Lakh)]],Table1[Revenue (INR Lakh)],0)</f>
        <v>2</v>
      </c>
      <c r="F7" s="28">
        <v>76.8</v>
      </c>
      <c r="G7" s="8">
        <v>0.13800000000000001</v>
      </c>
      <c r="H7" s="8">
        <v>0.64200000000000002</v>
      </c>
      <c r="I7" s="8">
        <v>0.68400000000000005</v>
      </c>
      <c r="J7" s="42" t="s">
        <v>216</v>
      </c>
    </row>
    <row r="8" spans="1:10" x14ac:dyDescent="0.25">
      <c r="A8" s="39" t="s">
        <v>220</v>
      </c>
      <c r="B8" s="18" t="s">
        <v>221</v>
      </c>
      <c r="C8" s="18" t="s">
        <v>222</v>
      </c>
      <c r="D8" s="26">
        <v>312</v>
      </c>
      <c r="E8" s="26">
        <f>_xlfn.RANK.EQ(Table1[[#This Row],[Revenue (INR Lakh)]],Table1[Revenue (INR Lakh)],0)</f>
        <v>3</v>
      </c>
      <c r="F8" s="27">
        <v>61.4</v>
      </c>
      <c r="G8" s="11">
        <v>0.151</v>
      </c>
      <c r="H8" s="11">
        <v>0.61799999999999999</v>
      </c>
      <c r="I8" s="11">
        <v>0.64200000000000002</v>
      </c>
      <c r="J8" s="41" t="s">
        <v>223</v>
      </c>
    </row>
    <row r="9" spans="1:10" x14ac:dyDescent="0.25">
      <c r="A9" s="40" t="s">
        <v>224</v>
      </c>
      <c r="B9" s="17" t="s">
        <v>225</v>
      </c>
      <c r="C9" s="17" t="s">
        <v>226</v>
      </c>
      <c r="D9" s="25">
        <v>284</v>
      </c>
      <c r="E9" s="25">
        <f>_xlfn.RANK.EQ(Table1[[#This Row],[Revenue (INR Lakh)]],Table1[Revenue (INR Lakh)],0)</f>
        <v>4</v>
      </c>
      <c r="F9" s="28">
        <v>58.6</v>
      </c>
      <c r="G9" s="8">
        <v>0.124</v>
      </c>
      <c r="H9" s="8">
        <v>0.59399999999999997</v>
      </c>
      <c r="I9" s="8">
        <v>0.70799999999999996</v>
      </c>
      <c r="J9" s="42" t="s">
        <v>223</v>
      </c>
    </row>
    <row r="10" spans="1:10" x14ac:dyDescent="0.25">
      <c r="A10" s="39" t="s">
        <v>227</v>
      </c>
      <c r="B10" s="18" t="s">
        <v>228</v>
      </c>
      <c r="C10" s="18" t="s">
        <v>229</v>
      </c>
      <c r="D10" s="26">
        <v>261</v>
      </c>
      <c r="E10" s="26">
        <f>_xlfn.RANK.EQ(Table1[[#This Row],[Revenue (INR Lakh)]],Table1[Revenue (INR Lakh)],0)</f>
        <v>5</v>
      </c>
      <c r="F10" s="27">
        <v>52.4</v>
      </c>
      <c r="G10" s="11">
        <v>0.13600000000000001</v>
      </c>
      <c r="H10" s="11">
        <v>0.57199999999999995</v>
      </c>
      <c r="I10" s="11">
        <v>0.66300000000000003</v>
      </c>
      <c r="J10" s="41" t="s">
        <v>223</v>
      </c>
    </row>
    <row r="11" spans="1:10" x14ac:dyDescent="0.25">
      <c r="A11" s="40" t="s">
        <v>230</v>
      </c>
      <c r="B11" s="17" t="s">
        <v>231</v>
      </c>
      <c r="C11" s="17" t="s">
        <v>232</v>
      </c>
      <c r="D11" s="25">
        <v>238</v>
      </c>
      <c r="E11" s="25">
        <f>_xlfn.RANK.EQ(Table1[[#This Row],[Revenue (INR Lakh)]],Table1[Revenue (INR Lakh)],0)</f>
        <v>6</v>
      </c>
      <c r="F11" s="28">
        <v>48.2</v>
      </c>
      <c r="G11" s="8">
        <v>0.14799999999999999</v>
      </c>
      <c r="H11" s="8">
        <v>0.55800000000000005</v>
      </c>
      <c r="I11" s="8">
        <v>0.621</v>
      </c>
      <c r="J11" s="42" t="s">
        <v>223</v>
      </c>
    </row>
    <row r="12" spans="1:10" x14ac:dyDescent="0.25">
      <c r="A12" s="39" t="s">
        <v>233</v>
      </c>
      <c r="B12" s="18" t="s">
        <v>234</v>
      </c>
      <c r="C12" s="18" t="s">
        <v>235</v>
      </c>
      <c r="D12" s="26">
        <v>214</v>
      </c>
      <c r="E12" s="26">
        <f>_xlfn.RANK.EQ(Table1[[#This Row],[Revenue (INR Lakh)]],Table1[Revenue (INR Lakh)],0)</f>
        <v>7</v>
      </c>
      <c r="F12" s="27">
        <v>42.6</v>
      </c>
      <c r="G12" s="11">
        <v>0.11899999999999999</v>
      </c>
      <c r="H12" s="11">
        <v>0.53400000000000003</v>
      </c>
      <c r="I12" s="11">
        <v>0.58399999999999996</v>
      </c>
      <c r="J12" s="41" t="s">
        <v>236</v>
      </c>
    </row>
    <row r="13" spans="1:10" x14ac:dyDescent="0.25">
      <c r="A13" s="40" t="s">
        <v>237</v>
      </c>
      <c r="B13" s="17" t="s">
        <v>238</v>
      </c>
      <c r="C13" s="17" t="s">
        <v>239</v>
      </c>
      <c r="D13" s="25">
        <v>198</v>
      </c>
      <c r="E13" s="25">
        <f>_xlfn.RANK.EQ(Table1[[#This Row],[Revenue (INR Lakh)]],Table1[Revenue (INR Lakh)],0)</f>
        <v>8</v>
      </c>
      <c r="F13" s="28">
        <v>39.4</v>
      </c>
      <c r="G13" s="8">
        <v>0.128</v>
      </c>
      <c r="H13" s="8">
        <v>0.51200000000000001</v>
      </c>
      <c r="I13" s="8">
        <v>0.60199999999999998</v>
      </c>
      <c r="J13" s="42" t="s">
        <v>236</v>
      </c>
    </row>
    <row r="14" spans="1:10" x14ac:dyDescent="0.25">
      <c r="A14" s="39" t="s">
        <v>240</v>
      </c>
      <c r="B14" s="18" t="s">
        <v>241</v>
      </c>
      <c r="C14" s="18" t="s">
        <v>242</v>
      </c>
      <c r="D14" s="26">
        <v>184</v>
      </c>
      <c r="E14" s="26">
        <f>_xlfn.RANK.EQ(Table1[[#This Row],[Revenue (INR Lakh)]],Table1[Revenue (INR Lakh)],0)</f>
        <v>9</v>
      </c>
      <c r="F14" s="27">
        <v>36.799999999999997</v>
      </c>
      <c r="G14" s="11">
        <v>0.13400000000000001</v>
      </c>
      <c r="H14" s="11">
        <v>0.498</v>
      </c>
      <c r="I14" s="11">
        <v>0.54600000000000004</v>
      </c>
      <c r="J14" s="41" t="s">
        <v>236</v>
      </c>
    </row>
    <row r="15" spans="1:10" x14ac:dyDescent="0.25">
      <c r="A15" s="40" t="s">
        <v>243</v>
      </c>
      <c r="B15" s="17" t="s">
        <v>244</v>
      </c>
      <c r="C15" s="17" t="s">
        <v>245</v>
      </c>
      <c r="D15" s="25">
        <v>172</v>
      </c>
      <c r="E15" s="25">
        <f>_xlfn.RANK.EQ(Table1[[#This Row],[Revenue (INR Lakh)]],Table1[Revenue (INR Lakh)],0)</f>
        <v>10</v>
      </c>
      <c r="F15" s="28">
        <v>34.200000000000003</v>
      </c>
      <c r="G15" s="8">
        <v>0.14199999999999999</v>
      </c>
      <c r="H15" s="8">
        <v>0.48399999999999999</v>
      </c>
      <c r="I15" s="8">
        <v>0.56799999999999995</v>
      </c>
      <c r="J15" s="42" t="s">
        <v>236</v>
      </c>
    </row>
    <row r="16" spans="1:10" x14ac:dyDescent="0.25">
      <c r="A16" s="39" t="s">
        <v>246</v>
      </c>
      <c r="B16" s="18" t="s">
        <v>247</v>
      </c>
      <c r="C16" s="18" t="s">
        <v>248</v>
      </c>
      <c r="D16" s="26">
        <v>158</v>
      </c>
      <c r="E16" s="26">
        <f>_xlfn.RANK.EQ(Table1[[#This Row],[Revenue (INR Lakh)]],Table1[Revenue (INR Lakh)],0)</f>
        <v>11</v>
      </c>
      <c r="F16" s="27">
        <v>31.6</v>
      </c>
      <c r="G16" s="11">
        <v>0.11600000000000001</v>
      </c>
      <c r="H16" s="11">
        <v>0.46200000000000002</v>
      </c>
      <c r="I16" s="11">
        <v>0.52400000000000002</v>
      </c>
      <c r="J16" s="41" t="s">
        <v>249</v>
      </c>
    </row>
    <row r="17" spans="1:10" x14ac:dyDescent="0.25">
      <c r="A17" s="40" t="s">
        <v>250</v>
      </c>
      <c r="B17" s="17" t="s">
        <v>251</v>
      </c>
      <c r="C17" s="17" t="s">
        <v>252</v>
      </c>
      <c r="D17" s="25">
        <v>144</v>
      </c>
      <c r="E17" s="25">
        <f>_xlfn.RANK.EQ(Table1[[#This Row],[Revenue (INR Lakh)]],Table1[Revenue (INR Lakh)],0)</f>
        <v>12</v>
      </c>
      <c r="F17" s="28">
        <v>28.8</v>
      </c>
      <c r="G17" s="8">
        <v>0.124</v>
      </c>
      <c r="H17" s="8">
        <v>0.44800000000000001</v>
      </c>
      <c r="I17" s="8">
        <v>0.48599999999999999</v>
      </c>
      <c r="J17" s="42" t="s">
        <v>249</v>
      </c>
    </row>
    <row r="18" spans="1:10" x14ac:dyDescent="0.25">
      <c r="A18" s="39" t="s">
        <v>253</v>
      </c>
      <c r="B18" s="18" t="s">
        <v>254</v>
      </c>
      <c r="C18" s="18" t="s">
        <v>255</v>
      </c>
      <c r="D18" s="26">
        <v>132</v>
      </c>
      <c r="E18" s="26">
        <f>_xlfn.RANK.EQ(Table1[[#This Row],[Revenue (INR Lakh)]],Table1[Revenue (INR Lakh)],0)</f>
        <v>13</v>
      </c>
      <c r="F18" s="27">
        <v>26.4</v>
      </c>
      <c r="G18" s="11">
        <v>0.13200000000000001</v>
      </c>
      <c r="H18" s="11">
        <v>0.42599999999999999</v>
      </c>
      <c r="I18" s="11">
        <v>0.46200000000000002</v>
      </c>
      <c r="J18" s="41" t="s">
        <v>249</v>
      </c>
    </row>
    <row r="19" spans="1:10" x14ac:dyDescent="0.25">
      <c r="A19" s="40" t="s">
        <v>256</v>
      </c>
      <c r="B19" s="17" t="s">
        <v>257</v>
      </c>
      <c r="C19" s="17" t="s">
        <v>258</v>
      </c>
      <c r="D19" s="25">
        <v>118</v>
      </c>
      <c r="E19" s="25">
        <f>_xlfn.RANK.EQ(Table1[[#This Row],[Revenue (INR Lakh)]],Table1[Revenue (INR Lakh)],0)</f>
        <v>14</v>
      </c>
      <c r="F19" s="28">
        <v>23.6</v>
      </c>
      <c r="G19" s="8">
        <v>0.11799999999999999</v>
      </c>
      <c r="H19" s="8">
        <v>0.40400000000000003</v>
      </c>
      <c r="I19" s="8">
        <v>0.501</v>
      </c>
      <c r="J19" s="42" t="s">
        <v>249</v>
      </c>
    </row>
    <row r="20" spans="1:10" x14ac:dyDescent="0.25">
      <c r="A20" s="46" t="s">
        <v>259</v>
      </c>
      <c r="B20" s="47" t="s">
        <v>260</v>
      </c>
      <c r="C20" s="47" t="s">
        <v>261</v>
      </c>
      <c r="D20" s="48">
        <v>104</v>
      </c>
      <c r="E20" s="48">
        <f>_xlfn.RANK.EQ(Table1[[#This Row],[Revenue (INR Lakh)]],Table1[Revenue (INR Lakh)],0)</f>
        <v>15</v>
      </c>
      <c r="F20" s="49">
        <v>20.8</v>
      </c>
      <c r="G20" s="50">
        <v>0.126</v>
      </c>
      <c r="H20" s="50">
        <v>0.38200000000000001</v>
      </c>
      <c r="I20" s="50">
        <v>0.44800000000000001</v>
      </c>
      <c r="J20" s="51" t="s">
        <v>249</v>
      </c>
    </row>
    <row r="21" spans="1:10" x14ac:dyDescent="0.25">
      <c r="A21" s="12" t="s">
        <v>262</v>
      </c>
      <c r="B21" s="12"/>
      <c r="C21" s="12"/>
      <c r="D21" s="29">
        <f>SUM(D6:D20)</f>
        <v>3343</v>
      </c>
      <c r="E21" s="29"/>
      <c r="F21" s="30">
        <f>SUM(F6:F20)</f>
        <v>665.8</v>
      </c>
      <c r="G21" s="14">
        <f>AVERAGE(G6:G20)</f>
        <v>0.13186666666666669</v>
      </c>
      <c r="H21" s="14">
        <f>AVERAGE(H6:H20)</f>
        <v>0.5212</v>
      </c>
      <c r="I21" s="14">
        <f>AVERAGE(I6:I20)</f>
        <v>0.58399999999999996</v>
      </c>
      <c r="J21" s="12"/>
    </row>
    <row r="23" spans="1:10" ht="15" customHeight="1" x14ac:dyDescent="0.25">
      <c r="A23" s="53" t="s">
        <v>263</v>
      </c>
      <c r="B23" s="53"/>
      <c r="C23" s="53"/>
      <c r="D23" s="53"/>
      <c r="E23" s="53"/>
      <c r="F23" s="53"/>
      <c r="G23" s="53"/>
      <c r="H23" s="53"/>
      <c r="I23" s="53"/>
      <c r="J23" s="53"/>
    </row>
    <row r="24" spans="1:10" x14ac:dyDescent="0.25">
      <c r="A24" s="1" t="s">
        <v>264</v>
      </c>
      <c r="B24" s="1" t="s">
        <v>207</v>
      </c>
      <c r="C24" s="1" t="s">
        <v>265</v>
      </c>
      <c r="D24" s="1" t="s">
        <v>266</v>
      </c>
      <c r="E24" s="1"/>
      <c r="F24" s="1" t="s">
        <v>267</v>
      </c>
      <c r="G24" s="1" t="s">
        <v>80</v>
      </c>
      <c r="H24" s="1" t="s">
        <v>268</v>
      </c>
      <c r="I24" s="1" t="s">
        <v>269</v>
      </c>
      <c r="J24" s="1" t="s">
        <v>4</v>
      </c>
    </row>
    <row r="25" spans="1:10" x14ac:dyDescent="0.25">
      <c r="A25" s="17" t="s">
        <v>270</v>
      </c>
      <c r="B25" s="25">
        <v>4820</v>
      </c>
      <c r="C25" s="31">
        <v>18.420000000000002</v>
      </c>
      <c r="D25" s="20">
        <v>145000</v>
      </c>
      <c r="E25" s="20"/>
      <c r="F25" s="8">
        <v>0.184</v>
      </c>
      <c r="G25" s="17" t="s">
        <v>271</v>
      </c>
      <c r="H25" s="21">
        <v>2</v>
      </c>
      <c r="I25" s="8">
        <v>4.2000000000000003E-2</v>
      </c>
      <c r="J25" s="8">
        <v>0.28599999999999998</v>
      </c>
    </row>
    <row r="26" spans="1:10" x14ac:dyDescent="0.25">
      <c r="A26" s="18" t="s">
        <v>272</v>
      </c>
      <c r="B26" s="26">
        <v>6240</v>
      </c>
      <c r="C26" s="32">
        <v>22.68</v>
      </c>
      <c r="D26" s="19">
        <v>109200</v>
      </c>
      <c r="E26" s="19"/>
      <c r="F26" s="11">
        <v>0.14199999999999999</v>
      </c>
      <c r="G26" s="18" t="s">
        <v>273</v>
      </c>
      <c r="H26" s="22">
        <v>4.2</v>
      </c>
      <c r="I26" s="11">
        <v>6.8000000000000005E-2</v>
      </c>
      <c r="J26" s="11">
        <v>0.224</v>
      </c>
    </row>
    <row r="27" spans="1:10" x14ac:dyDescent="0.25">
      <c r="A27" s="17" t="s">
        <v>274</v>
      </c>
      <c r="B27" s="25">
        <v>3180</v>
      </c>
      <c r="C27" s="31">
        <v>14.82</v>
      </c>
      <c r="D27" s="20">
        <v>140400</v>
      </c>
      <c r="E27" s="20"/>
      <c r="F27" s="8">
        <v>0.128</v>
      </c>
      <c r="G27" s="17" t="s">
        <v>275</v>
      </c>
      <c r="H27" s="21">
        <v>18</v>
      </c>
      <c r="I27" s="8">
        <v>8.4000000000000005E-2</v>
      </c>
      <c r="J27" s="8">
        <v>0.16800000000000001</v>
      </c>
    </row>
    <row r="28" spans="1:10" x14ac:dyDescent="0.25">
      <c r="A28" s="18" t="s">
        <v>276</v>
      </c>
      <c r="B28" s="26">
        <v>8640</v>
      </c>
      <c r="C28" s="32">
        <v>31.24</v>
      </c>
      <c r="D28" s="19">
        <v>108600</v>
      </c>
      <c r="E28" s="19"/>
      <c r="F28" s="11">
        <v>9.4E-2</v>
      </c>
      <c r="G28" s="18" t="s">
        <v>277</v>
      </c>
      <c r="H28" s="22">
        <v>1.8</v>
      </c>
      <c r="I28" s="11">
        <v>3.2000000000000001E-2</v>
      </c>
      <c r="J28" s="11">
        <v>0.182</v>
      </c>
    </row>
    <row r="29" spans="1:10" x14ac:dyDescent="0.25">
      <c r="A29" s="17" t="s">
        <v>278</v>
      </c>
      <c r="B29" s="25">
        <v>1420</v>
      </c>
      <c r="C29" s="31">
        <v>4.26</v>
      </c>
      <c r="D29" s="20">
        <v>90000</v>
      </c>
      <c r="E29" s="20"/>
      <c r="F29" s="8">
        <v>0.16800000000000001</v>
      </c>
      <c r="G29" s="17" t="s">
        <v>279</v>
      </c>
      <c r="H29" s="21">
        <v>6.4</v>
      </c>
      <c r="I29" s="8">
        <v>9.6000000000000002E-2</v>
      </c>
      <c r="J29" s="8">
        <v>0.42399999999999999</v>
      </c>
    </row>
    <row r="30" spans="1:10" x14ac:dyDescent="0.25">
      <c r="A30" s="18" t="s">
        <v>280</v>
      </c>
      <c r="B30" s="26">
        <v>2860</v>
      </c>
      <c r="C30" s="32">
        <v>7.8</v>
      </c>
      <c r="D30" s="19">
        <v>82000</v>
      </c>
      <c r="E30" s="19"/>
      <c r="F30" s="11">
        <v>0.10199999999999999</v>
      </c>
      <c r="G30" s="18" t="s">
        <v>281</v>
      </c>
      <c r="H30" s="22">
        <v>8.1999999999999993</v>
      </c>
      <c r="I30" s="11">
        <v>5.3999999999999999E-2</v>
      </c>
      <c r="J30" s="11">
        <v>0.124</v>
      </c>
    </row>
    <row r="31" spans="1:10" x14ac:dyDescent="0.25">
      <c r="A31" s="17" t="s">
        <v>282</v>
      </c>
      <c r="B31" s="25">
        <v>3640</v>
      </c>
      <c r="C31" s="31">
        <v>6.18</v>
      </c>
      <c r="D31" s="20">
        <v>51000</v>
      </c>
      <c r="E31" s="20"/>
      <c r="F31" s="8">
        <v>0.114</v>
      </c>
      <c r="G31" s="17" t="s">
        <v>283</v>
      </c>
      <c r="H31" s="21">
        <v>1</v>
      </c>
      <c r="I31" s="8">
        <v>7.1999999999999995E-2</v>
      </c>
      <c r="J31" s="8">
        <v>0.34799999999999998</v>
      </c>
    </row>
    <row r="32" spans="1:10" x14ac:dyDescent="0.25">
      <c r="A32" s="18" t="s">
        <v>284</v>
      </c>
      <c r="B32" s="26">
        <v>1280</v>
      </c>
      <c r="C32" s="32">
        <v>11.52</v>
      </c>
      <c r="D32" s="19">
        <v>270000</v>
      </c>
      <c r="E32" s="19"/>
      <c r="F32" s="11">
        <v>0.22600000000000001</v>
      </c>
      <c r="G32" s="18" t="s">
        <v>285</v>
      </c>
      <c r="H32" s="22">
        <v>2.1</v>
      </c>
      <c r="I32" s="11">
        <v>2.8000000000000001E-2</v>
      </c>
      <c r="J32" s="11">
        <v>0.312</v>
      </c>
    </row>
    <row r="33" spans="1:10" x14ac:dyDescent="0.25">
      <c r="A33" s="17" t="s">
        <v>286</v>
      </c>
      <c r="B33" s="25">
        <v>4180</v>
      </c>
      <c r="C33" s="31">
        <v>6.48</v>
      </c>
      <c r="D33" s="20">
        <v>46500</v>
      </c>
      <c r="E33" s="20"/>
      <c r="F33" s="8">
        <v>0.13600000000000001</v>
      </c>
      <c r="G33" s="17" t="s">
        <v>287</v>
      </c>
      <c r="H33" s="21">
        <v>2.8</v>
      </c>
      <c r="I33" s="8">
        <v>5.8000000000000003E-2</v>
      </c>
      <c r="J33" s="8">
        <v>0.48199999999999998</v>
      </c>
    </row>
    <row r="34" spans="1:10" x14ac:dyDescent="0.25">
      <c r="A34" s="18" t="s">
        <v>288</v>
      </c>
      <c r="B34" s="26">
        <v>840</v>
      </c>
      <c r="C34" s="32">
        <v>5.88</v>
      </c>
      <c r="D34" s="19">
        <v>210000</v>
      </c>
      <c r="E34" s="19"/>
      <c r="F34" s="11">
        <v>0.19800000000000001</v>
      </c>
      <c r="G34" s="18" t="s">
        <v>289</v>
      </c>
      <c r="H34" s="22">
        <v>3.4</v>
      </c>
      <c r="I34" s="11">
        <v>6.4000000000000001E-2</v>
      </c>
      <c r="J34" s="11">
        <v>0.22800000000000001</v>
      </c>
    </row>
    <row r="36" spans="1:10" ht="15" customHeight="1" x14ac:dyDescent="0.25">
      <c r="A36" s="53" t="s">
        <v>290</v>
      </c>
      <c r="B36" s="53"/>
      <c r="C36" s="53"/>
      <c r="D36" s="53"/>
      <c r="E36" s="53"/>
      <c r="F36" s="53"/>
      <c r="G36" s="53"/>
      <c r="H36" s="53"/>
      <c r="I36" s="53"/>
      <c r="J36" s="53"/>
    </row>
    <row r="37" spans="1:10" x14ac:dyDescent="0.25">
      <c r="A37" s="1" t="s">
        <v>46</v>
      </c>
      <c r="B37" s="1" t="s">
        <v>291</v>
      </c>
      <c r="C37" s="1" t="s">
        <v>292</v>
      </c>
      <c r="D37" s="1" t="s">
        <v>293</v>
      </c>
      <c r="E37" s="1"/>
      <c r="F37" s="1" t="s">
        <v>294</v>
      </c>
      <c r="G37" s="1" t="s">
        <v>295</v>
      </c>
      <c r="H37" s="1" t="s">
        <v>296</v>
      </c>
      <c r="I37" s="1" t="s">
        <v>297</v>
      </c>
      <c r="J37" s="1" t="s">
        <v>298</v>
      </c>
    </row>
    <row r="38" spans="1:10" x14ac:dyDescent="0.25">
      <c r="A38" s="18" t="s">
        <v>299</v>
      </c>
      <c r="B38" s="26">
        <v>3840</v>
      </c>
      <c r="C38" s="26">
        <v>2688</v>
      </c>
      <c r="D38" s="26">
        <v>1075</v>
      </c>
      <c r="E38" s="26"/>
      <c r="F38" s="11">
        <v>0.4</v>
      </c>
      <c r="G38" s="19">
        <v>98400</v>
      </c>
      <c r="H38" s="26">
        <v>72</v>
      </c>
      <c r="I38" s="27">
        <v>98.2</v>
      </c>
      <c r="J38" s="2" t="s">
        <v>10</v>
      </c>
    </row>
    <row r="39" spans="1:10" x14ac:dyDescent="0.25">
      <c r="A39" s="17" t="s">
        <v>300</v>
      </c>
      <c r="B39" s="25">
        <v>4120</v>
      </c>
      <c r="C39" s="25">
        <v>2884</v>
      </c>
      <c r="D39" s="25">
        <v>1194</v>
      </c>
      <c r="E39" s="25"/>
      <c r="F39" s="8">
        <v>0.41399999999999998</v>
      </c>
      <c r="G39" s="20">
        <v>102400</v>
      </c>
      <c r="H39" s="25">
        <v>80</v>
      </c>
      <c r="I39" s="28">
        <v>114.8</v>
      </c>
      <c r="J39" s="8">
        <v>0.16900000000000001</v>
      </c>
    </row>
    <row r="40" spans="1:10" x14ac:dyDescent="0.25">
      <c r="A40" s="18" t="s">
        <v>301</v>
      </c>
      <c r="B40" s="26">
        <v>4680</v>
      </c>
      <c r="C40" s="26">
        <v>3276</v>
      </c>
      <c r="D40" s="26">
        <v>1311</v>
      </c>
      <c r="E40" s="26"/>
      <c r="F40" s="11">
        <v>0.4</v>
      </c>
      <c r="G40" s="19">
        <v>110400</v>
      </c>
      <c r="H40" s="26">
        <v>88</v>
      </c>
      <c r="I40" s="27">
        <v>135.19999999999999</v>
      </c>
      <c r="J40" s="11">
        <v>0.17799999999999999</v>
      </c>
    </row>
    <row r="41" spans="1:10" x14ac:dyDescent="0.25">
      <c r="A41" s="17" t="s">
        <v>302</v>
      </c>
      <c r="B41" s="25">
        <v>4840</v>
      </c>
      <c r="C41" s="25">
        <v>3388</v>
      </c>
      <c r="D41" s="25">
        <v>1358</v>
      </c>
      <c r="E41" s="25"/>
      <c r="F41" s="8">
        <v>0.40100000000000002</v>
      </c>
      <c r="G41" s="20">
        <v>108800</v>
      </c>
      <c r="H41" s="25">
        <v>92</v>
      </c>
      <c r="I41" s="28">
        <v>140.6</v>
      </c>
      <c r="J41" s="8">
        <v>0.04</v>
      </c>
    </row>
    <row r="42" spans="1:10" x14ac:dyDescent="0.25">
      <c r="A42" s="18" t="s">
        <v>303</v>
      </c>
      <c r="B42" s="26">
        <v>4280</v>
      </c>
      <c r="C42" s="26">
        <v>2996</v>
      </c>
      <c r="D42" s="26">
        <v>1199</v>
      </c>
      <c r="E42" s="26"/>
      <c r="F42" s="11">
        <v>0.4</v>
      </c>
      <c r="G42" s="19">
        <v>104000</v>
      </c>
      <c r="H42" s="26">
        <v>82</v>
      </c>
      <c r="I42" s="27">
        <v>120.4</v>
      </c>
      <c r="J42" s="11">
        <v>-0.14399999999999999</v>
      </c>
    </row>
    <row r="43" spans="1:10" x14ac:dyDescent="0.25">
      <c r="A43" s="17" t="s">
        <v>304</v>
      </c>
      <c r="B43" s="25">
        <v>3640</v>
      </c>
      <c r="C43" s="25">
        <v>2548</v>
      </c>
      <c r="D43" s="25">
        <v>1020</v>
      </c>
      <c r="E43" s="25"/>
      <c r="F43" s="8">
        <v>0.4</v>
      </c>
      <c r="G43" s="20">
        <v>98000</v>
      </c>
      <c r="H43" s="25">
        <v>68</v>
      </c>
      <c r="I43" s="28">
        <v>96.2</v>
      </c>
      <c r="J43" s="8">
        <v>-0.20100000000000001</v>
      </c>
    </row>
    <row r="44" spans="1:10" x14ac:dyDescent="0.25">
      <c r="A44" s="18" t="s">
        <v>305</v>
      </c>
      <c r="B44" s="26">
        <v>4420</v>
      </c>
      <c r="C44" s="26">
        <v>3094</v>
      </c>
      <c r="D44" s="26">
        <v>1238</v>
      </c>
      <c r="E44" s="26"/>
      <c r="F44" s="11">
        <v>0.4</v>
      </c>
      <c r="G44" s="19">
        <v>106400</v>
      </c>
      <c r="H44" s="26">
        <v>82</v>
      </c>
      <c r="I44" s="27">
        <v>126.2</v>
      </c>
      <c r="J44" s="11">
        <v>0.312</v>
      </c>
    </row>
    <row r="45" spans="1:10" x14ac:dyDescent="0.25">
      <c r="A45" s="17" t="s">
        <v>306</v>
      </c>
      <c r="B45" s="25">
        <v>4920</v>
      </c>
      <c r="C45" s="25">
        <v>3444</v>
      </c>
      <c r="D45" s="25">
        <v>1378</v>
      </c>
      <c r="E45" s="25"/>
      <c r="F45" s="8">
        <v>0.4</v>
      </c>
      <c r="G45" s="20">
        <v>112800</v>
      </c>
      <c r="H45" s="25">
        <v>92</v>
      </c>
      <c r="I45" s="28">
        <v>148.80000000000001</v>
      </c>
      <c r="J45" s="8">
        <v>0.17899999999999999</v>
      </c>
    </row>
    <row r="46" spans="1:10" x14ac:dyDescent="0.25">
      <c r="A46" s="18" t="s">
        <v>307</v>
      </c>
      <c r="B46" s="26">
        <v>5480</v>
      </c>
      <c r="C46" s="26">
        <v>3836</v>
      </c>
      <c r="D46" s="26">
        <v>1534</v>
      </c>
      <c r="E46" s="26"/>
      <c r="F46" s="11">
        <v>0.4</v>
      </c>
      <c r="G46" s="19">
        <v>122400</v>
      </c>
      <c r="H46" s="26">
        <v>106</v>
      </c>
      <c r="I46" s="27">
        <v>180.4</v>
      </c>
      <c r="J46" s="11">
        <v>0.21199999999999999</v>
      </c>
    </row>
    <row r="47" spans="1:10" x14ac:dyDescent="0.25">
      <c r="A47" s="17" t="s">
        <v>308</v>
      </c>
      <c r="B47" s="25">
        <v>5220</v>
      </c>
      <c r="C47" s="25">
        <v>3654</v>
      </c>
      <c r="D47" s="25">
        <v>1462</v>
      </c>
      <c r="E47" s="25"/>
      <c r="F47" s="8">
        <v>0.4</v>
      </c>
      <c r="G47" s="20">
        <v>116800</v>
      </c>
      <c r="H47" s="25">
        <v>100</v>
      </c>
      <c r="I47" s="28">
        <v>164.8</v>
      </c>
      <c r="J47" s="8">
        <v>-8.6999999999999994E-2</v>
      </c>
    </row>
    <row r="48" spans="1:10" x14ac:dyDescent="0.25">
      <c r="A48" s="18" t="s">
        <v>309</v>
      </c>
      <c r="B48" s="26">
        <v>5640</v>
      </c>
      <c r="C48" s="26">
        <v>3948</v>
      </c>
      <c r="D48" s="26">
        <v>1580</v>
      </c>
      <c r="E48" s="26"/>
      <c r="F48" s="11">
        <v>0.4</v>
      </c>
      <c r="G48" s="19">
        <v>120000</v>
      </c>
      <c r="H48" s="26">
        <v>108</v>
      </c>
      <c r="I48" s="27">
        <v>184.8</v>
      </c>
      <c r="J48" s="11">
        <v>0.121</v>
      </c>
    </row>
    <row r="49" spans="1:10" x14ac:dyDescent="0.25">
      <c r="A49" s="17" t="s">
        <v>310</v>
      </c>
      <c r="B49" s="25">
        <v>6120</v>
      </c>
      <c r="C49" s="25">
        <v>4284</v>
      </c>
      <c r="D49" s="25">
        <v>1714</v>
      </c>
      <c r="E49" s="25"/>
      <c r="F49" s="8">
        <v>0.4</v>
      </c>
      <c r="G49" s="20">
        <v>128800</v>
      </c>
      <c r="H49" s="25">
        <v>118</v>
      </c>
      <c r="I49" s="28">
        <v>212.4</v>
      </c>
      <c r="J49" s="8">
        <v>0.14899999999999999</v>
      </c>
    </row>
    <row r="50" spans="1:10" x14ac:dyDescent="0.25">
      <c r="A50" s="12" t="s">
        <v>311</v>
      </c>
      <c r="B50" s="29">
        <f>SUM(B38:B49)</f>
        <v>57200</v>
      </c>
      <c r="C50" s="29">
        <f>SUM(C38:C49)</f>
        <v>40040</v>
      </c>
      <c r="D50" s="29">
        <f>SUM(D38:D49)</f>
        <v>16063</v>
      </c>
      <c r="E50" s="29"/>
      <c r="F50" s="14">
        <f>D50/C50</f>
        <v>0.40117382617382619</v>
      </c>
      <c r="G50" s="33">
        <f>AVERAGE(G38:G49)</f>
        <v>110766.66666666667</v>
      </c>
      <c r="H50" s="12"/>
      <c r="I50" s="30">
        <f>SUM(I38:I49)</f>
        <v>1722.8000000000002</v>
      </c>
      <c r="J50" s="12"/>
    </row>
    <row r="52" spans="1:10" ht="15" customHeight="1" x14ac:dyDescent="0.25">
      <c r="A52" s="53" t="s">
        <v>312</v>
      </c>
      <c r="B52" s="53"/>
      <c r="C52" s="53"/>
      <c r="D52" s="53"/>
      <c r="E52" s="53"/>
      <c r="F52" s="53"/>
      <c r="G52" s="53"/>
      <c r="H52" s="53"/>
      <c r="I52" s="53"/>
      <c r="J52" s="53"/>
    </row>
    <row r="53" spans="1:10" x14ac:dyDescent="0.25">
      <c r="A53" s="1" t="s">
        <v>264</v>
      </c>
      <c r="B53" s="1" t="s">
        <v>313</v>
      </c>
      <c r="C53" s="1" t="s">
        <v>314</v>
      </c>
      <c r="D53" s="1" t="s">
        <v>315</v>
      </c>
      <c r="E53" s="1"/>
      <c r="F53" s="1" t="s">
        <v>316</v>
      </c>
      <c r="G53" s="1" t="s">
        <v>317</v>
      </c>
      <c r="H53" s="1" t="s">
        <v>318</v>
      </c>
      <c r="I53" s="1" t="s">
        <v>319</v>
      </c>
      <c r="J53" s="1" t="s">
        <v>320</v>
      </c>
    </row>
    <row r="54" spans="1:10" x14ac:dyDescent="0.25">
      <c r="A54" s="18" t="s">
        <v>95</v>
      </c>
      <c r="B54" s="5">
        <v>0.04</v>
      </c>
      <c r="C54" s="5">
        <v>0.08</v>
      </c>
      <c r="D54" s="5">
        <v>0.22</v>
      </c>
      <c r="E54" s="5"/>
      <c r="F54" s="5">
        <v>0.38</v>
      </c>
      <c r="G54" s="5">
        <v>0.28000000000000003</v>
      </c>
      <c r="H54" s="2">
        <v>48</v>
      </c>
      <c r="I54" s="5">
        <v>0.18</v>
      </c>
      <c r="J54" s="5">
        <v>0.12</v>
      </c>
    </row>
    <row r="55" spans="1:10" x14ac:dyDescent="0.25">
      <c r="A55" s="17" t="s">
        <v>272</v>
      </c>
      <c r="B55" s="10">
        <v>0.06</v>
      </c>
      <c r="C55" s="10">
        <v>0.12</v>
      </c>
      <c r="D55" s="10">
        <v>0.28000000000000003</v>
      </c>
      <c r="E55" s="10"/>
      <c r="F55" s="10">
        <v>0.34</v>
      </c>
      <c r="G55" s="10">
        <v>0.2</v>
      </c>
      <c r="H55" s="6">
        <v>42</v>
      </c>
      <c r="I55" s="10">
        <v>0.22</v>
      </c>
      <c r="J55" s="10">
        <v>0.08</v>
      </c>
    </row>
    <row r="56" spans="1:10" x14ac:dyDescent="0.25">
      <c r="A56" s="18" t="s">
        <v>104</v>
      </c>
      <c r="B56" s="5">
        <v>0.02</v>
      </c>
      <c r="C56" s="5">
        <v>0.04</v>
      </c>
      <c r="D56" s="5">
        <v>0.14000000000000001</v>
      </c>
      <c r="E56" s="5"/>
      <c r="F56" s="5">
        <v>0.28000000000000003</v>
      </c>
      <c r="G56" s="5">
        <v>0.52</v>
      </c>
      <c r="H56" s="2">
        <v>68</v>
      </c>
      <c r="I56" s="5">
        <v>0.08</v>
      </c>
      <c r="J56" s="5">
        <v>0.18</v>
      </c>
    </row>
    <row r="57" spans="1:10" x14ac:dyDescent="0.25">
      <c r="A57" s="17" t="s">
        <v>321</v>
      </c>
      <c r="B57" s="10">
        <v>0.24</v>
      </c>
      <c r="C57" s="10">
        <v>0.32</v>
      </c>
      <c r="D57" s="10">
        <v>0.28000000000000003</v>
      </c>
      <c r="E57" s="10"/>
      <c r="F57" s="10">
        <v>0.12</v>
      </c>
      <c r="G57" s="10">
        <v>0.04</v>
      </c>
      <c r="H57" s="6">
        <v>12</v>
      </c>
      <c r="I57" s="10">
        <v>0.35</v>
      </c>
      <c r="J57" s="10">
        <v>0.04</v>
      </c>
    </row>
    <row r="58" spans="1:10" x14ac:dyDescent="0.25">
      <c r="A58" s="18" t="s">
        <v>322</v>
      </c>
      <c r="B58" s="5">
        <v>0.08</v>
      </c>
      <c r="C58" s="5">
        <v>0.14000000000000001</v>
      </c>
      <c r="D58" s="5">
        <v>0.28000000000000003</v>
      </c>
      <c r="E58" s="5"/>
      <c r="F58" s="5">
        <v>0.32</v>
      </c>
      <c r="G58" s="5">
        <v>0.18</v>
      </c>
      <c r="H58" s="2">
        <v>38</v>
      </c>
      <c r="I58" s="5">
        <v>0.24</v>
      </c>
      <c r="J58" s="5">
        <v>0.1</v>
      </c>
    </row>
    <row r="59" spans="1:10" x14ac:dyDescent="0.25">
      <c r="A59" s="17" t="s">
        <v>107</v>
      </c>
      <c r="B59" s="10">
        <v>0.04</v>
      </c>
      <c r="C59" s="10">
        <v>0.08</v>
      </c>
      <c r="D59" s="10">
        <v>0.18</v>
      </c>
      <c r="E59" s="10"/>
      <c r="F59" s="10">
        <v>0.38</v>
      </c>
      <c r="G59" s="10">
        <v>0.32</v>
      </c>
      <c r="H59" s="6">
        <v>52</v>
      </c>
      <c r="I59" s="10">
        <v>0.06</v>
      </c>
      <c r="J59" s="10">
        <v>0.14000000000000001</v>
      </c>
    </row>
    <row r="60" spans="1:10" x14ac:dyDescent="0.25">
      <c r="A60" s="18" t="s">
        <v>323</v>
      </c>
      <c r="B60" s="5">
        <v>0.28000000000000003</v>
      </c>
      <c r="C60" s="5">
        <v>0.34</v>
      </c>
      <c r="D60" s="5">
        <v>0.24</v>
      </c>
      <c r="E60" s="5"/>
      <c r="F60" s="5">
        <v>0.1</v>
      </c>
      <c r="G60" s="5">
        <v>0.04</v>
      </c>
      <c r="H60" s="2">
        <v>14</v>
      </c>
      <c r="I60" s="5">
        <v>0.38</v>
      </c>
      <c r="J60" s="5">
        <v>0.02</v>
      </c>
    </row>
    <row r="61" spans="1:10" x14ac:dyDescent="0.25">
      <c r="A61" s="17" t="s">
        <v>284</v>
      </c>
      <c r="B61" s="10">
        <v>0.02</v>
      </c>
      <c r="C61" s="10">
        <v>0.04</v>
      </c>
      <c r="D61" s="10">
        <v>0.16</v>
      </c>
      <c r="E61" s="10"/>
      <c r="F61" s="10">
        <v>0.32</v>
      </c>
      <c r="G61" s="10">
        <v>0.46</v>
      </c>
      <c r="H61" s="6">
        <v>62</v>
      </c>
      <c r="I61" s="10">
        <v>0.06</v>
      </c>
      <c r="J61" s="10">
        <v>0.22</v>
      </c>
    </row>
    <row r="62" spans="1:10" x14ac:dyDescent="0.25">
      <c r="A62" s="18" t="s">
        <v>324</v>
      </c>
      <c r="B62" s="5">
        <v>0.38</v>
      </c>
      <c r="C62" s="5">
        <v>0.42</v>
      </c>
      <c r="D62" s="5">
        <v>0.14000000000000001</v>
      </c>
      <c r="E62" s="5"/>
      <c r="F62" s="5">
        <v>0.06</v>
      </c>
      <c r="G62" s="5">
        <v>0</v>
      </c>
      <c r="H62" s="2">
        <v>8</v>
      </c>
      <c r="I62" s="5">
        <v>0.42</v>
      </c>
      <c r="J62" s="5">
        <v>0</v>
      </c>
    </row>
    <row r="63" spans="1:10" x14ac:dyDescent="0.25">
      <c r="A63" s="17" t="s">
        <v>325</v>
      </c>
      <c r="B63" s="10">
        <v>0.02</v>
      </c>
      <c r="C63" s="10">
        <v>0.06</v>
      </c>
      <c r="D63" s="10">
        <v>0.18</v>
      </c>
      <c r="E63" s="10"/>
      <c r="F63" s="10">
        <v>0.36</v>
      </c>
      <c r="G63" s="10">
        <v>0.38</v>
      </c>
      <c r="H63" s="6">
        <v>64</v>
      </c>
      <c r="I63" s="10">
        <v>0.04</v>
      </c>
      <c r="J63" s="10">
        <v>0.16</v>
      </c>
    </row>
  </sheetData>
  <mergeCells count="6">
    <mergeCell ref="A52:J52"/>
    <mergeCell ref="A1:J1"/>
    <mergeCell ref="A2:J2"/>
    <mergeCell ref="A4:J4"/>
    <mergeCell ref="A23:J23"/>
    <mergeCell ref="A36:J36"/>
  </mergeCells>
  <conditionalFormatting sqref="H5">
    <cfRule type="colorScale" priority="10">
      <colorScale>
        <cfvo type="min"/>
        <cfvo type="max"/>
        <color rgb="FFFCFCFF"/>
        <color rgb="FF63BE7B"/>
      </colorScale>
    </cfRule>
  </conditionalFormatting>
  <conditionalFormatting sqref="H6:H20">
    <cfRule type="colorScale" priority="9">
      <colorScale>
        <cfvo type="min"/>
        <cfvo type="max"/>
        <color rgb="FFFCFCFF"/>
        <color rgb="FF63BE7B"/>
      </colorScale>
    </cfRule>
  </conditionalFormatting>
  <conditionalFormatting sqref="F6:F2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{377D00B3-D966-4EC2-AEA1-C16909103B59}</x14:id>
        </ext>
      </extLst>
    </cfRule>
  </conditionalFormatting>
  <conditionalFormatting sqref="J6:J20">
    <cfRule type="containsText" dxfId="21" priority="7" operator="containsText" text="Platinum">
      <formula>NOT(ISERROR(SEARCH("Platinum",J6)))</formula>
    </cfRule>
    <cfRule type="cellIs" dxfId="20" priority="6" operator="equal">
      <formula>"Gold"</formula>
    </cfRule>
    <cfRule type="cellIs" dxfId="19" priority="5" operator="equal">
      <formula>"Sliver"</formula>
    </cfRule>
    <cfRule type="cellIs" dxfId="18" priority="3" operator="equal">
      <formula>"Silver"</formula>
    </cfRule>
    <cfRule type="cellIs" dxfId="17" priority="2" operator="equal">
      <formula>"Bronze"</formula>
    </cfRule>
  </conditionalFormatting>
  <conditionalFormatting sqref="J12:J15">
    <cfRule type="cellIs" dxfId="16" priority="4" operator="equal">
      <formula>"Sliver"</formula>
    </cfRule>
    <cfRule type="cellIs" dxfId="15" priority="1" operator="equal">
      <formula>"Silver"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7D00B3-D966-4EC2-AEA1-C16909103B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F6:F20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TravClan_DB1_Formatted</vt:lpstr>
      <vt:lpstr>Pivot_Trends</vt:lpstr>
      <vt:lpstr>DB2_Asia_Market</vt:lpstr>
      <vt:lpstr>Corridor_Pivot</vt:lpstr>
      <vt:lpstr>DB3_B2B_Agent_Performance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2026-04-26T09:46:54Z</dcterms:created>
  <dcterms:modified xsi:type="dcterms:W3CDTF">2026-04-27T08:09:34Z</dcterms:modified>
  <dc:language>en-US</dc:language>
</cp:coreProperties>
</file>